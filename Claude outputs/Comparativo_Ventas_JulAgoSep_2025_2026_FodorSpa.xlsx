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Serie mensual" sheetId="2" state="visible" r:id="rId4"/>
    <sheet name="Vendedores" sheetId="3" state="visible" r:id="rId5"/>
    <sheet name="Clientes" sheetId="4" state="visible" r:id="rId6"/>
    <sheet name="Metodología y riesg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<sst xmlns="http://schemas.openxmlformats.org/spreadsheetml/2006/main" count="201" uniqueCount="170">
  <si>
    <t xml:space="preserve">Fodor SpA — Ventas Jul / Ago / Sep: 2025 vs 2026</t>
  </si>
  <si>
    <t xml:space="preserve">Facturación bruta (con IVA) emitida en el mes. Fuente: respaldo Firebase del Panel, 02-09-2026 22:15. Septiembre 2026 es PARCIAL (01–02 sep).</t>
  </si>
  <si>
    <t xml:space="preserve">Mes</t>
  </si>
  <si>
    <t xml:space="preserve">Docs 2025</t>
  </si>
  <si>
    <t xml:space="preserve">Venta 2025</t>
  </si>
  <si>
    <t xml:space="preserve">Docs 2026</t>
  </si>
  <si>
    <t xml:space="preserve">Venta 2026</t>
  </si>
  <si>
    <t xml:space="preserve">Var $</t>
  </si>
  <si>
    <t xml:space="preserve">Var %</t>
  </si>
  <si>
    <t xml:space="preserve">Ticket 2025</t>
  </si>
  <si>
    <t xml:space="preserve">Ticket 2026</t>
  </si>
  <si>
    <t xml:space="preserve">Var ticket %</t>
  </si>
  <si>
    <t xml:space="preserve">Nota</t>
  </si>
  <si>
    <t xml:space="preserve">Julio</t>
  </si>
  <si>
    <t xml:space="preserve">Agosto</t>
  </si>
  <si>
    <t xml:space="preserve">Septiembre</t>
  </si>
  <si>
    <t xml:space="preserve">PARCIAL 2026: solo 01-02 sep</t>
  </si>
  <si>
    <t xml:space="preserve">TOTAL Jul+Ago (comparable)</t>
  </si>
  <si>
    <t xml:space="preserve">Comparable estricto septiembre (01–02 sep de cada año)</t>
  </si>
  <si>
    <t xml:space="preserve">Periodo</t>
  </si>
  <si>
    <t xml:space="preserve">01–02 sep</t>
  </si>
  <si>
    <t xml:space="preserve">Lectura rápida:</t>
  </si>
  <si>
    <t xml:space="preserve">• Julio 2026 +6,2% vs julio 2025 con 110 documentos MENOS: el crecimiento viene de ticket promedio, no de volumen.</t>
  </si>
  <si>
    <t xml:space="preserve">• Agosto 2026 +33,6%: el mejor agosto de la serie y el segundo mejor mes de 2026 después de marzo.</t>
  </si>
  <si>
    <t xml:space="preserve">• Jul+Ago 2026 acumulado: +21,7% vs 2025. Tendencia real de recuperación tras el bache de mayo–junio.</t>
  </si>
  <si>
    <t xml:space="preserve">• Septiembre 2026 NO es comparable con este respaldo: solo cubre 2 días. Septiembre 2025 fue el mes más alto de toda la serie ($520M, Fiestas Patrias).</t>
  </si>
  <si>
    <t xml:space="preserve">• Señal de alerta: los primeros 2 días de sep-2026 van 53% bajo los mismos 2 días de 2025. Base muy pequeña — no concluir aún, pero vale la pena mirar la carga de pedidos de septiembre.</t>
  </si>
  <si>
    <t xml:space="preserve">Serie mensual de facturación</t>
  </si>
  <si>
    <t xml:space="preserve">Todos los documentos emitidos (facturas + boletas), monto bruto.</t>
  </si>
  <si>
    <t xml:space="preserve">Docs</t>
  </si>
  <si>
    <t xml:space="preserve">Venta bruta</t>
  </si>
  <si>
    <t xml:space="preserve">Ticket promedio</t>
  </si>
  <si>
    <t xml:space="preserve">Var % vs mes anterior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</si>
  <si>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</si>
  <si>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</si>
  <si>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</si>
  <si>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</si>
  <si>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</si>
  <si>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</si>
  <si>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</si>
  <si>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</si>
  <si>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</si>
  <si>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</si>
  <si>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</si>
  <si>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</si>
  <si>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</si>
  <si>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</si>
  <si>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</si>
  <si>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</si>
  <si>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</si>
  <si>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</si>
  <si>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</si>
  <si>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</si>
  <si>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</si>
  <si>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PARCIAL — solo 01 y 02 de septiembre</t>
  </si>
  <si>
    <t xml:space="preserve">Acum. ene–ago</t>
  </si>
  <si>
    <t xml:space="preserve">2025</t>
  </si>
  <si>
    <t xml:space="preserve">2026</t>
  </si>
  <si>
    <t xml:space="preserve">Var % ene–ago</t>
  </si>
  <si>
    <t xml:space="preserve">Venta por vendedor — Jul / Ago / Sep</t>
  </si>
  <si>
    <t xml:space="preserve">Nombres normalizados: en 2026 el campo cambió de alias corto a nombre completo. 'SUSANA', 'MARTIN' y 'ROBERTO' no registran venta en 2025 en esta base.</t>
  </si>
  <si>
    <t xml:space="preserve">Vendedor</t>
  </si>
  <si>
    <t xml:space="preserve">Jul 2025</t>
  </si>
  <si>
    <t xml:space="preserve">Jul 2026</t>
  </si>
  <si>
    <t xml:space="preserve">Var % Jul</t>
  </si>
  <si>
    <t xml:space="preserve">Ago 2025</t>
  </si>
  <si>
    <t xml:space="preserve">Ago 2026</t>
  </si>
  <si>
    <t xml:space="preserve">Var % Ago</t>
  </si>
  <si>
    <t xml:space="preserve">Jul+Ago 2025</t>
  </si>
  <si>
    <t xml:space="preserve">Jul+Ago 2026</t>
  </si>
  <si>
    <t xml:space="preserve">Var % Jul+Ago</t>
  </si>
  <si>
    <t xml:space="preserve">Sep 2025 (mes)</t>
  </si>
  <si>
    <t xml:space="preserve">Sep 2026 (2 días)</t>
  </si>
  <si>
    <t xml:space="preserve">FRAMIR</t>
  </si>
  <si>
    <t xml:space="preserve">RODRIGO</t>
  </si>
  <si>
    <t xml:space="preserve">MARCELO</t>
  </si>
  <si>
    <t xml:space="preserve">ROBERTO</t>
  </si>
  <si>
    <t xml:space="preserve">REGINA</t>
  </si>
  <si>
    <t xml:space="preserve">TORREALBA</t>
  </si>
  <si>
    <t xml:space="preserve">SUSANA</t>
  </si>
  <si>
    <t xml:space="preserve">MARTIN</t>
  </si>
  <si>
    <t xml:space="preserve">DEBORA</t>
  </si>
  <si>
    <t xml:space="preserve">VENTAS1</t>
  </si>
  <si>
    <t xml:space="preserve">ARIELVENTAS</t>
  </si>
  <si>
    <t xml:space="preserve">(sin asignar)</t>
  </si>
  <si>
    <t xml:space="preserve">TOTAL</t>
  </si>
  <si>
    <t xml:space="preserve">Observaciones:</t>
  </si>
  <si>
    <t xml:space="preserve">• Rodrigo es el motor del salto de agosto: $147M vs $83M (+77%), con MENOS documentos (60 vs 79) → operaciones grandes.</t>
  </si>
  <si>
    <t xml:space="preserve">• Framir pierde volumen y monto en julio (-18%) y no recupera del todo en agosto (-13%).</t>
  </si>
  <si>
    <t xml:space="preserve">• Torrealba y Ventas1 prácticamente desaparecen en 2026; Susana, Martín y Roberto son la nueva capa. Revisar si es rotación de personas o solo re-etiquetado del campo 'vendedor'.</t>
  </si>
  <si>
    <t xml:space="preserve">• 'Sin asignar' en jul-2026: $6,4M en 9 documentos. Dato sucio a corregir en el Panel.</t>
  </si>
  <si>
    <t xml:space="preserve">Clientes — Julio + Agosto</t>
  </si>
  <si>
    <t xml:space="preserve">Comparación de cartera entre 2025 y 2026 en el periodo comparable.</t>
  </si>
  <si>
    <t xml:space="preserve">Estructura de cartera (Jul+Ago)</t>
  </si>
  <si>
    <t xml:space="preserve">Indicador</t>
  </si>
  <si>
    <t xml:space="preserve">Var</t>
  </si>
  <si>
    <t xml:space="preserve">Clientes distintos que facturaron</t>
  </si>
  <si>
    <t xml:space="preserve">Venta total</t>
  </si>
  <si>
    <t xml:space="preserve">Venta promedio por cliente</t>
  </si>
  <si>
    <t xml:space="preserve">Clientes que compraron ambos años</t>
  </si>
  <si>
    <t xml:space="preserve">Venta de esos clientes recurrentes</t>
  </si>
  <si>
    <t xml:space="preserve">Clientes nuevos en 2026</t>
  </si>
  <si>
    <t xml:space="preserve">Venta de clientes nuevos 2026</t>
  </si>
  <si>
    <t xml:space="preserve">Clientes de 2025 que no volvieron</t>
  </si>
  <si>
    <t xml:space="preserve">Venta perdida de esos clientes</t>
  </si>
  <si>
    <t xml:space="preserve">Top 20 clientes Jul+Ago</t>
  </si>
  <si>
    <t xml:space="preserve">#</t>
  </si>
  <si>
    <t xml:space="preserve">Cliente 2025</t>
  </si>
  <si>
    <t xml:space="preserve">% del total</t>
  </si>
  <si>
    <t xml:space="preserve">Cliente 2026</t>
  </si>
  <si>
    <t xml:space="preserve">RLA SAV S.A</t>
  </si>
  <si>
    <t xml:space="preserve">SOCIEDAD MCD GROUP SPA</t>
  </si>
  <si>
    <t xml:space="preserve">M Y R ASOCIADOS SPA</t>
  </si>
  <si>
    <t xml:space="preserve">COMPANIA PISQUERA DE CHILE S A</t>
  </si>
  <si>
    <t xml:space="preserve">DIAGEO CHILE LIMITADA</t>
  </si>
  <si>
    <t xml:space="preserve">I MUNICIPALIDAD LO BARNECHEA</t>
  </si>
  <si>
    <t xml:space="preserve">SOCIEDAD COMERCIAL CRV SPA</t>
  </si>
  <si>
    <t xml:space="preserve">E-FOOD SPA</t>
  </si>
  <si>
    <t xml:space="preserve">GLOVOX PRODUCCIONES LIMITADA</t>
  </si>
  <si>
    <t xml:space="preserve">LICORES MITJANS S A</t>
  </si>
  <si>
    <t xml:space="preserve">Comercializadora Zona Promo Limitada</t>
  </si>
  <si>
    <t xml:space="preserve">VINA VALDIVIESO S A</t>
  </si>
  <si>
    <t xml:space="preserve">PERNOD RICARD CHILE SPA</t>
  </si>
  <si>
    <t xml:space="preserve">JULIO ROLANDO PINO LAGOS</t>
  </si>
  <si>
    <t xml:space="preserve">Universidad Santo Tomas</t>
  </si>
  <si>
    <t xml:space="preserve">I &amp; M COMPANY SPA</t>
  </si>
  <si>
    <t xml:space="preserve">SOC CONCESIONARIA ARENA BICENTENARIO S A</t>
  </si>
  <si>
    <t xml:space="preserve">FELIPE HORTA PRODUCCIONES LIMITADA</t>
  </si>
  <si>
    <t xml:space="preserve">V Y D S.A.</t>
  </si>
  <si>
    <t xml:space="preserve">TRAFUYAN SPA</t>
  </si>
  <si>
    <t xml:space="preserve">ACORI Y BUSTAMANTE SPA</t>
  </si>
  <si>
    <t xml:space="preserve">(sin identificar)</t>
  </si>
  <si>
    <t xml:space="preserve">UP SOCIAL CLUB SPA</t>
  </si>
  <si>
    <t xml:space="preserve">PARTIDO DEMOCRATA CRISTIANO</t>
  </si>
  <si>
    <t xml:space="preserve">INVERSIONES EL AJI SECO SPA</t>
  </si>
  <si>
    <t xml:space="preserve">HIDEKI SA</t>
  </si>
  <si>
    <t xml:space="preserve">I MUNICIPALIDAD PEDRO AGUIRRE CERDA</t>
  </si>
  <si>
    <t xml:space="preserve">DISTRIBUCION Y EXCELENCIA S.A.</t>
  </si>
  <si>
    <t xml:space="preserve">CENTRO DE CONVENCIONES SANTIAGO S.A</t>
  </si>
  <si>
    <t xml:space="preserve">AGENCIA VOLTA S.A.</t>
  </si>
  <si>
    <t xml:space="preserve">I MUNICIPALIDAD DE HUECHURABA</t>
  </si>
  <si>
    <t xml:space="preserve">CORP MUNICIPAL DE DESARROLLO SOCIAL DE PUDAHUEL</t>
  </si>
  <si>
    <t xml:space="preserve">Subtotal top 20</t>
  </si>
  <si>
    <t xml:space="preserve">• La cartera se concentró fuerte: el top 10 pasó de 22% a 33% de la venta del periodo. Más ingreso, pero más riesgo de dependencia.</t>
  </si>
  <si>
    <t xml:space="preserve">• Solo 293 de 1.022 clientes de 2025 volvieron a comprar en jul+ago 2026 (29%). Retención baja — típico de negocio por proyecto/campaña, pero vale medirlo.</t>
  </si>
  <si>
    <t xml:space="preserve">• Los recurrentes crecieron +43% ($269M → $384M): el crecimiento viene de venderle MÁS a los mismos, no de captación.</t>
  </si>
  <si>
    <t xml:space="preserve">• Entra un bloque nuevo de licores y vinos (Diageo, Pernod Ricard, Mitjans, Valdivieso) que no estaba en 2025. Es la apuesta a defender.</t>
  </si>
  <si>
    <t xml:space="preserve">• RLA SAV pasó a ser el 8,2% del periodo por sí solo. Vigilar concentración.</t>
  </si>
  <si>
    <t xml:space="preserve">Metodología, supuestos y calidad de datos</t>
  </si>
  <si>
    <t xml:space="preserve">Tipo</t>
  </si>
  <si>
    <t xml:space="preserve">Detalle</t>
  </si>
  <si>
    <t xml:space="preserve">HECHO</t>
  </si>
  <si>
    <t xml:space="preserve">Fuente única: ~/fodor-deploy/backups-firebase/estado_2026-09-02_22-15.json (respaldo del Panel de Facturación, Firebase odfor-bae97).</t>
  </si>
  <si>
    <t xml:space="preserve">Universo construido uniendo los nodos D26_EXTRA + D26 + D25 + D24, deduplicando por folio. 16.642 documentos únicos.</t>
  </si>
  <si>
    <t xml:space="preserve">El campo 'saldo' de esos nodos corresponde al TOTAL BRUTO del documento (con IVA), no al saldo pendiente. Verificado cruzando 676 folios contra FACTCL_DATA (campos total/neto): coincidencia 676/676.</t>
  </si>
  <si>
    <t xml:space="preserve">Incluye facturas y boletas electrónicas. En la muestra verificable: 570 facturas y 106 boletas.</t>
  </si>
  <si>
    <t xml:space="preserve">DECISIÓN</t>
  </si>
  <si>
    <t xml:space="preserve">Se IGNORÓ la lista BORRADAS (1.280 folios). Motivo: 1.265 de esos 1.280 son documentos de jul-2026 (642) y ago-2026 (623), y la bitácora del 02-09-2026 registra 'migración 31-08-2026: 1.280 facturas dejaron de estar borradas y volvieron a la vista'. El nodo BORRADAS quedó desactualizado. Si se aplicara, julio 2026 caería a $6,6M y agosto a $138M — cifras incoherentes con toda la serie.</t>
  </si>
  <si>
    <t xml:space="preserve">RIESGO</t>
  </si>
  <si>
    <t xml:space="preserve">Este punto es el mayor riesgo del análisis. Recomendación: verificar en el Panel que julio y agosto 2026 muestren ~653 y ~896 documentos. Si el Panel muestra menos, las cifras de 2026 de este informe están infladas.</t>
  </si>
  <si>
    <t xml:space="preserve">LIMITACIÓN</t>
  </si>
  <si>
    <t xml:space="preserve">Septiembre 2026 solo cubre el 01 y 02 de septiembre (el respaldo es del 02-09). NO es comparable contra septiembre 2025 completo. Se agregó un comparable estricto de 01–02 sep de ambos años, pero con 90 documentos la muestra es demasiado chica para concluir.</t>
  </si>
  <si>
    <t xml:space="preserve">No se descontaron notas de crédito: no se detectó un nodo de NC ni montos negativos en la base. Si Fodor emite NC, la venta neta real es menor a la de este informe, en ambos años por igual.</t>
  </si>
  <si>
    <t xml:space="preserve">Cifras en pesos nominales. No hay ajuste por inflación. Con IPC Chile 12 meses en torno a 4%, un crecimiento nominal de +21,7% equivale aproximadamente a +17% real — cifra referencial, no verificada contra el dato oficial del INE.</t>
  </si>
  <si>
    <t xml:space="preserve">Es facturación emitida, no venta cobrada ni margen. No dice nada sobre rentabilidad.</t>
  </si>
  <si>
    <t xml:space="preserve">SUPUESTO</t>
  </si>
  <si>
    <t xml:space="preserve">Los nombres de vendedor se normalizaron por coincidencia de texto (ej. 'FRAMIR JESUS ZAPATA LINARES' → FRAMIR). Si dos personas comparten nombre, quedarían agregadas.</t>
  </si>
  <si>
    <t xml:space="preserve">DATO SUCIO</t>
  </si>
  <si>
    <t xml:space="preserve">9 documentos de jul-2026 por $6,4M sin vendedor asignado.</t>
  </si>
  <si>
    <t xml:space="preserve">2024 está claramente incompleto en esta base (647 documentos en todo el año vs 8.000+ en 2025). No usar 2024 como comparativo.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</si>
</sst>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;&quot;($&quot;#,##0\);\-"/>
    <numFmt numFmtId="167" formatCode="0.0%;\(0.0%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7A7A7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A6741"/>
        <bgColor rgb="FF7A7A7A"/>
      </patternFill>
    </fill>
    <fill>
      <patternFill patternType="solid">
        <fgColor rgb="FFFAF6EF"/>
        <bgColor rgb="FFFFFFFF"/>
      </patternFill>
    </fill>
    <fill>
      <patternFill patternType="solid">
        <fgColor rgb="FFFFF2CC"/>
        <bgColor rgb="FFFAF6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A7A"/>
      <rgbColor rgb="FF9999FF"/>
      <rgbColor rgb="FF993366"/>
      <rgbColor rgb="FFFFF2CC"/>
      <rgbColor rgb="FFFAF6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6741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6" min="5" style="0" width="16"/>
    <col collapsed="false" customWidth="true" hidden="false" outlineLevel="0" max="7" min="7" style="0" width="10"/>
    <col collapsed="false" customWidth="true" hidden="false" outlineLevel="0" max="9" min="8" style="0" width="13"/>
    <col collapsed="false" customWidth="true" hidden="false" outlineLevel="0" max="10" min="10" style="0" width="12"/>
    <col collapsed="false" customWidth="true" hidden="false" outlineLevel="0" max="11" min="11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5" t="n">
        <v>763</v>
      </c>
      <c r="C5" s="6" t="n">
        <v>223991157</v>
      </c>
      <c r="D5" s="5" t="n">
        <v>653</v>
      </c>
      <c r="E5" s="6" t="n">
        <v>237844377</v>
      </c>
      <c r="F5" s="6" t="n">
        <f aca="false">E5-C5</f>
        <v>13853220</v>
      </c>
      <c r="G5" s="7" t="n">
        <f aca="false">IFERROR(E5/C5-1,"")</f>
        <v>0.061847173725702</v>
      </c>
      <c r="H5" s="6" t="n">
        <f aca="false">IFERROR(C5/B5,"")</f>
        <v>293566.391874181</v>
      </c>
      <c r="I5" s="6" t="n">
        <f aca="false">IFERROR(E5/D5,"")</f>
        <v>364233.349157734</v>
      </c>
      <c r="J5" s="7" t="n">
        <f aca="false">IFERROR(I5/H5-1,"")</f>
        <v>0.240718826267551</v>
      </c>
      <c r="K5" s="8"/>
    </row>
    <row r="6" customFormat="false" ht="15" hidden="false" customHeight="false" outlineLevel="0" collapsed="false">
      <c r="A6" s="4" t="s">
        <v>14</v>
      </c>
      <c r="B6" s="5" t="n">
        <v>844</v>
      </c>
      <c r="C6" s="6" t="n">
        <v>292463700</v>
      </c>
      <c r="D6" s="5" t="n">
        <v>896</v>
      </c>
      <c r="E6" s="6" t="n">
        <v>390841653</v>
      </c>
      <c r="F6" s="6" t="n">
        <f aca="false">E6-C6</f>
        <v>98377953</v>
      </c>
      <c r="G6" s="7" t="n">
        <f aca="false">IFERROR(E6/C6-1,"")</f>
        <v>0.336376627253228</v>
      </c>
      <c r="H6" s="6" t="n">
        <f aca="false">IFERROR(C6/B6,"")</f>
        <v>346520.971563981</v>
      </c>
      <c r="I6" s="6" t="n">
        <f aca="false">IFERROR(E6/D6,"")</f>
        <v>436207.202008929</v>
      </c>
      <c r="J6" s="7" t="n">
        <f aca="false">IFERROR(I6/H6-1,"")</f>
        <v>0.258819055135854</v>
      </c>
      <c r="K6" s="8"/>
    </row>
    <row r="7" customFormat="false" ht="15" hidden="false" customHeight="false" outlineLevel="0" collapsed="false">
      <c r="A7" s="4" t="s">
        <v>15</v>
      </c>
      <c r="B7" s="5" t="n">
        <v>1046</v>
      </c>
      <c r="C7" s="6" t="n">
        <v>519987359</v>
      </c>
      <c r="D7" s="5" t="n">
        <v>90</v>
      </c>
      <c r="E7" s="6" t="n">
        <v>18207853</v>
      </c>
      <c r="F7" s="6" t="n">
        <f aca="false">E7-C7</f>
        <v>-501779506</v>
      </c>
      <c r="G7" s="7" t="n">
        <f aca="false">IFERROR(E7/C7-1,"")</f>
        <v>-0.96498404685257</v>
      </c>
      <c r="H7" s="6" t="n">
        <f aca="false">IFERROR(C7/B7,"")</f>
        <v>497119.846080306</v>
      </c>
      <c r="I7" s="6" t="n">
        <f aca="false">IFERROR(E7/D7,"")</f>
        <v>202309.477777778</v>
      </c>
      <c r="J7" s="7" t="n">
        <f aca="false">IFERROR(I7/H7-1,"")</f>
        <v>-0.593036811197644</v>
      </c>
      <c r="K7" s="8" t="s">
        <v>16</v>
      </c>
    </row>
    <row r="8" customFormat="false" ht="15" hidden="false" customHeight="false" outlineLevel="0" collapsed="false">
      <c r="A8" s="9" t="s">
        <v>17</v>
      </c>
      <c r="B8" s="10" t="n">
        <f aca="false">SUM(B5:B6)</f>
        <v>1607</v>
      </c>
      <c r="C8" s="11" t="n">
        <f aca="false">SUM(C5:C6)</f>
        <v>516454857</v>
      </c>
      <c r="D8" s="10" t="n">
        <f aca="false">SUM(D5:D6)</f>
        <v>1549</v>
      </c>
      <c r="E8" s="11" t="n">
        <f aca="false">SUM(E5:E6)</f>
        <v>628686030</v>
      </c>
      <c r="F8" s="11" t="n">
        <f aca="false">E8-C8</f>
        <v>112231173</v>
      </c>
      <c r="G8" s="12" t="n">
        <f aca="false">IFERROR(E8/C8-1,"")</f>
        <v>0.217310712599223</v>
      </c>
      <c r="H8" s="11" t="n">
        <f aca="false">IFERROR(C8/B8,"")</f>
        <v>321378.255756067</v>
      </c>
      <c r="I8" s="11" t="n">
        <f aca="false">IFERROR(E8/D8,"")</f>
        <v>405865.739186572</v>
      </c>
      <c r="J8" s="12" t="n">
        <f aca="false">IFERROR(I8/H8-1,"")</f>
        <v>0.262891100805004</v>
      </c>
      <c r="K8" s="13"/>
    </row>
    <row r="10" customFormat="false" ht="15" hidden="false" customHeight="false" outlineLevel="0" collapsed="false">
      <c r="A10" s="14" t="s">
        <v>18</v>
      </c>
    </row>
    <row r="11" customFormat="false" ht="15" hidden="false" customHeight="false" outlineLevel="0" collapsed="false">
      <c r="A11" s="3" t="s">
        <v>19</v>
      </c>
      <c r="B11" s="3" t="s">
        <v>3</v>
      </c>
      <c r="C11" s="3" t="s">
        <v>4</v>
      </c>
      <c r="D11" s="3" t="s">
        <v>5</v>
      </c>
      <c r="E11" s="3" t="s">
        <v>6</v>
      </c>
      <c r="F11" s="3" t="s">
        <v>7</v>
      </c>
      <c r="G11" s="3" t="s">
        <v>8</v>
      </c>
    </row>
    <row r="12" customFormat="false" ht="15" hidden="false" customHeight="false" outlineLevel="0" collapsed="false">
      <c r="A12" s="15" t="s">
        <v>20</v>
      </c>
      <c r="B12" s="16" t="n">
        <v>91</v>
      </c>
      <c r="C12" s="17" t="n">
        <v>39126845</v>
      </c>
      <c r="D12" s="16" t="n">
        <v>90</v>
      </c>
      <c r="E12" s="17" t="n">
        <v>18207853</v>
      </c>
      <c r="F12" s="17" t="n">
        <f aca="false">E12-C12</f>
        <v>-20918992</v>
      </c>
      <c r="G12" s="18" t="n">
        <f aca="false">IFERROR(E12/C12-1,"")</f>
        <v>-0.53464551000726</v>
      </c>
      <c r="H12" s="15"/>
      <c r="I12" s="15"/>
      <c r="J12" s="15"/>
      <c r="K12" s="15"/>
    </row>
    <row r="14" customFormat="false" ht="15" hidden="false" customHeight="false" outlineLevel="0" collapsed="false">
      <c r="A14" s="14" t="s">
        <v>21</v>
      </c>
    </row>
    <row r="15" customFormat="false" ht="15" hidden="false" customHeight="false" outlineLevel="0" collapsed="false">
      <c r="A15" s="19" t="s">
        <v>22</v>
      </c>
    </row>
    <row r="16" customFormat="false" ht="15" hidden="false" customHeight="false" outlineLevel="0" collapsed="false">
      <c r="A16" s="19" t="s">
        <v>23</v>
      </c>
    </row>
    <row r="17" customFormat="false" ht="15" hidden="false" customHeight="false" outlineLevel="0" collapsed="false">
      <c r="A17" s="19" t="s">
        <v>24</v>
      </c>
    </row>
    <row r="18" customFormat="false" ht="15" hidden="false" customHeight="false" outlineLevel="0" collapsed="false">
      <c r="A18" s="19" t="s">
        <v>25</v>
      </c>
    </row>
    <row r="19" customFormat="false" ht="15" hidden="false" customHeight="false" outlineLevel="0" collapsed="false">
      <c r="A19" s="19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26.85" hidden="false" customHeight="false" outlineLevel="0" collapsed="false">
      <c r="A4" s="3" t="s">
        <v>2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12</v>
      </c>
    </row>
    <row r="5" customFormat="false" ht="15" hidden="false" customHeight="false" outlineLevel="0" collapsed="false">
      <c r="A5" s="20" t="s">
        <v>33</v>
      </c>
      <c r="B5" s="16" t="n">
        <v>758</v>
      </c>
      <c r="C5" s="17" t="n">
        <v>346859952</v>
      </c>
      <c r="D5" s="17" t="n">
        <f aca="false">IFERROR(C5/B5,"")</f>
        <v>457598.881266491</v>
      </c>
      <c r="E5" s="15"/>
      <c r="F5" s="15"/>
    </row>
    <row r="6" customFormat="false" ht="15" hidden="false" customHeight="false" outlineLevel="0" collapsed="false">
      <c r="A6" s="20" t="s">
        <v>34</v>
      </c>
      <c r="B6" s="16" t="n">
        <v>662</v>
      </c>
      <c r="C6" s="17" t="n">
        <v>261915304</v>
      </c>
      <c r="D6" s="17" t="n">
        <f aca="false">IFERROR(C6/B6,"")</f>
        <v>395642.453172205</v>
      </c>
      <c r="E6" s="18" t="n">
        <f aca="false">IFERROR(C6/C5-1,"")</f>
        <v>-0.244896095701472</v>
      </c>
      <c r="F6" s="15"/>
    </row>
    <row r="7" customFormat="false" ht="15" hidden="false" customHeight="false" outlineLevel="0" collapsed="false">
      <c r="A7" s="20" t="s">
        <v>35</v>
      </c>
      <c r="B7" s="16" t="n">
        <v>698</v>
      </c>
      <c r="C7" s="17" t="n">
        <v>346770957</v>
      </c>
      <c r="D7" s="17" t="n">
        <f aca="false">IFERROR(C7/B7,"")</f>
        <v>496806.528653295</v>
      </c>
      <c r="E7" s="18" t="n">
        <f aca="false">IFERROR(C7/C6-1,"")</f>
        <v>0.323981270678249</v>
      </c>
      <c r="F7" s="15"/>
    </row>
    <row r="8" customFormat="false" ht="15" hidden="false" customHeight="false" outlineLevel="0" collapsed="false">
      <c r="A8" s="20" t="s">
        <v>36</v>
      </c>
      <c r="B8" s="16" t="n">
        <v>721</v>
      </c>
      <c r="C8" s="17" t="n">
        <v>285212451</v>
      </c>
      <c r="D8" s="17" t="n">
        <f aca="false">IFERROR(C8/B8,"")</f>
        <v>395578.9889043</v>
      </c>
      <c r="E8" s="18" t="n">
        <f aca="false">IFERROR(C8/C7-1,"")</f>
        <v>-0.177519209026493</v>
      </c>
      <c r="F8" s="15"/>
    </row>
    <row r="9" customFormat="false" ht="15" hidden="false" customHeight="false" outlineLevel="0" collapsed="false">
      <c r="A9" s="20" t="s">
        <v>37</v>
      </c>
      <c r="B9" s="16" t="n">
        <v>603</v>
      </c>
      <c r="C9" s="17" t="n">
        <v>212201384</v>
      </c>
      <c r="D9" s="17" t="n">
        <f aca="false">IFERROR(C9/B9,"")</f>
        <v>351909.426202322</v>
      </c>
      <c r="E9" s="18" t="n">
        <f aca="false">IFERROR(C9/C8-1,"")</f>
        <v>-0.255988357955663</v>
      </c>
      <c r="F9" s="15"/>
    </row>
    <row r="10" customFormat="false" ht="15" hidden="false" customHeight="false" outlineLevel="0" collapsed="false">
      <c r="A10" s="20" t="s">
        <v>38</v>
      </c>
      <c r="B10" s="16" t="n">
        <v>549</v>
      </c>
      <c r="C10" s="17" t="n">
        <v>216352250</v>
      </c>
      <c r="D10" s="17" t="n">
        <f aca="false">IFERROR(C10/B10,"")</f>
        <v>394084.244080146</v>
      </c>
      <c r="E10" s="18" t="n">
        <f aca="false">IFERROR(C10/C9-1,"")</f>
        <v>0.0195609751536776</v>
      </c>
      <c r="F10" s="15"/>
    </row>
    <row r="11" customFormat="false" ht="15" hidden="false" customHeight="false" outlineLevel="0" collapsed="false">
      <c r="A11" s="20" t="s">
        <v>39</v>
      </c>
      <c r="B11" s="16" t="n">
        <v>763</v>
      </c>
      <c r="C11" s="17" t="n">
        <v>223991157</v>
      </c>
      <c r="D11" s="17" t="n">
        <f aca="false">IFERROR(C11/B11,"")</f>
        <v>293566.391874181</v>
      </c>
      <c r="E11" s="18" t="n">
        <f aca="false">IFERROR(C11/C10-1,"")</f>
        <v>0.0353077307954968</v>
      </c>
      <c r="F11" s="15"/>
    </row>
    <row r="12" customFormat="false" ht="15" hidden="false" customHeight="false" outlineLevel="0" collapsed="false">
      <c r="A12" s="20" t="s">
        <v>40</v>
      </c>
      <c r="B12" s="16" t="n">
        <v>844</v>
      </c>
      <c r="C12" s="17" t="n">
        <v>292463700</v>
      </c>
      <c r="D12" s="17" t="n">
        <f aca="false">IFERROR(C12/B12,"")</f>
        <v>346520.971563981</v>
      </c>
      <c r="E12" s="18" t="n">
        <f aca="false">IFERROR(C12/C11-1,"")</f>
        <v>0.30569306358822</v>
      </c>
      <c r="F12" s="15"/>
    </row>
    <row r="13" customFormat="false" ht="15" hidden="false" customHeight="false" outlineLevel="0" collapsed="false">
      <c r="A13" s="20" t="s">
        <v>41</v>
      </c>
      <c r="B13" s="16" t="n">
        <v>1046</v>
      </c>
      <c r="C13" s="17" t="n">
        <v>519987359</v>
      </c>
      <c r="D13" s="17" t="n">
        <f aca="false">IFERROR(C13/B13,"")</f>
        <v>497119.846080306</v>
      </c>
      <c r="E13" s="18" t="n">
        <f aca="false">IFERROR(C13/C12-1,"")</f>
        <v>0.777955209484117</v>
      </c>
      <c r="F13" s="15"/>
    </row>
    <row r="14" customFormat="false" ht="15" hidden="false" customHeight="false" outlineLevel="0" collapsed="false">
      <c r="A14" s="20" t="s">
        <v>42</v>
      </c>
      <c r="B14" s="16" t="n">
        <v>1155</v>
      </c>
      <c r="C14" s="17" t="n">
        <v>480790839</v>
      </c>
      <c r="D14" s="17" t="n">
        <f aca="false">IFERROR(C14/B14,"")</f>
        <v>416269.124675325</v>
      </c>
      <c r="E14" s="18" t="n">
        <f aca="false">IFERROR(C14/C13-1,"")</f>
        <v>-0.0753797555297878</v>
      </c>
      <c r="F14" s="15"/>
    </row>
    <row r="15" customFormat="false" ht="15" hidden="false" customHeight="false" outlineLevel="0" collapsed="false">
      <c r="A15" s="20" t="s">
        <v>43</v>
      </c>
      <c r="B15" s="16" t="n">
        <v>1062</v>
      </c>
      <c r="C15" s="17" t="n">
        <v>404371638</v>
      </c>
      <c r="D15" s="17" t="n">
        <f aca="false">IFERROR(C15/B15,"")</f>
        <v>380764.254237288</v>
      </c>
      <c r="E15" s="18" t="n">
        <f aca="false">IFERROR(C15/C14-1,"")</f>
        <v>-0.158944794287147</v>
      </c>
      <c r="F15" s="15"/>
    </row>
    <row r="16" customFormat="false" ht="15" hidden="false" customHeight="false" outlineLevel="0" collapsed="false">
      <c r="A16" s="20" t="s">
        <v>44</v>
      </c>
      <c r="B16" s="16" t="n">
        <v>1033</v>
      </c>
      <c r="C16" s="17" t="n">
        <v>421070253</v>
      </c>
      <c r="D16" s="17" t="n">
        <f aca="false">IFERROR(C16/B16,"")</f>
        <v>407618.831558567</v>
      </c>
      <c r="E16" s="18" t="n">
        <f aca="false">IFERROR(C16/C15-1,"")</f>
        <v>0.0412952181379249</v>
      </c>
      <c r="F16" s="15"/>
    </row>
    <row r="17" customFormat="false" ht="15" hidden="false" customHeight="false" outlineLevel="0" collapsed="false">
      <c r="A17" s="20" t="s">
        <v>45</v>
      </c>
      <c r="B17" s="16" t="n">
        <v>875</v>
      </c>
      <c r="C17" s="17" t="n">
        <v>359721698</v>
      </c>
      <c r="D17" s="17" t="n">
        <f aca="false">IFERROR(C17/B17,"")</f>
        <v>411110.512</v>
      </c>
      <c r="E17" s="18" t="n">
        <f aca="false">IFERROR(C17/C16-1,"")</f>
        <v>-0.145696720589759</v>
      </c>
      <c r="F17" s="15"/>
    </row>
    <row r="18" customFormat="false" ht="15" hidden="false" customHeight="false" outlineLevel="0" collapsed="false">
      <c r="A18" s="20" t="s">
        <v>46</v>
      </c>
      <c r="B18" s="16" t="n">
        <v>668</v>
      </c>
      <c r="C18" s="17" t="n">
        <v>334911020</v>
      </c>
      <c r="D18" s="17" t="n">
        <f aca="false">IFERROR(C18/B18,"")</f>
        <v>501363.80239521</v>
      </c>
      <c r="E18" s="18" t="n">
        <f aca="false">IFERROR(C18/C17-1,"")</f>
        <v>-0.068971869470048</v>
      </c>
      <c r="F18" s="15"/>
    </row>
    <row r="19" customFormat="false" ht="15" hidden="false" customHeight="false" outlineLevel="0" collapsed="false">
      <c r="A19" s="20" t="s">
        <v>47</v>
      </c>
      <c r="B19" s="16" t="n">
        <v>820</v>
      </c>
      <c r="C19" s="17" t="n">
        <v>372876515</v>
      </c>
      <c r="D19" s="17" t="n">
        <f aca="false">IFERROR(C19/B19,"")</f>
        <v>454727.457317073</v>
      </c>
      <c r="E19" s="18" t="n">
        <f aca="false">IFERROR(C19/C18-1,"")</f>
        <v>0.113359945575992</v>
      </c>
      <c r="F19" s="15"/>
    </row>
    <row r="20" customFormat="false" ht="15" hidden="false" customHeight="false" outlineLevel="0" collapsed="false">
      <c r="A20" s="20" t="s">
        <v>48</v>
      </c>
      <c r="B20" s="16" t="n">
        <v>807</v>
      </c>
      <c r="C20" s="17" t="n">
        <v>280507609</v>
      </c>
      <c r="D20" s="17" t="n">
        <f aca="false">IFERROR(C20/B20,"")</f>
        <v>347593.071871128</v>
      </c>
      <c r="E20" s="18" t="n">
        <f aca="false">IFERROR(C20/C19-1,"")</f>
        <v>-0.247719827568116</v>
      </c>
      <c r="F20" s="15"/>
    </row>
    <row r="21" customFormat="false" ht="15" hidden="false" customHeight="false" outlineLevel="0" collapsed="false">
      <c r="A21" s="20" t="s">
        <v>49</v>
      </c>
      <c r="B21" s="16" t="n">
        <v>685</v>
      </c>
      <c r="C21" s="17" t="n">
        <v>239430161</v>
      </c>
      <c r="D21" s="17" t="n">
        <f aca="false">IFERROR(C21/B21,"")</f>
        <v>349533.081751825</v>
      </c>
      <c r="E21" s="18" t="n">
        <f aca="false">IFERROR(C21/C20-1,"")</f>
        <v>-0.146439692479073</v>
      </c>
      <c r="F21" s="15"/>
    </row>
    <row r="22" customFormat="false" ht="15" hidden="false" customHeight="false" outlineLevel="0" collapsed="false">
      <c r="A22" s="20" t="s">
        <v>50</v>
      </c>
      <c r="B22" s="16" t="n">
        <v>607</v>
      </c>
      <c r="C22" s="17" t="n">
        <v>231317440</v>
      </c>
      <c r="D22" s="17" t="n">
        <f aca="false">IFERROR(C22/B22,"")</f>
        <v>381083.097199341</v>
      </c>
      <c r="E22" s="18" t="n">
        <f aca="false">IFERROR(C22/C21-1,"")</f>
        <v>-0.0338834546412889</v>
      </c>
      <c r="F22" s="15"/>
    </row>
    <row r="23" customFormat="false" ht="15" hidden="false" customHeight="false" outlineLevel="0" collapsed="false">
      <c r="A23" s="20" t="s">
        <v>51</v>
      </c>
      <c r="B23" s="16" t="n">
        <v>653</v>
      </c>
      <c r="C23" s="17" t="n">
        <v>237844377</v>
      </c>
      <c r="D23" s="17" t="n">
        <f aca="false">IFERROR(C23/B23,"")</f>
        <v>364233.349157734</v>
      </c>
      <c r="E23" s="18" t="n">
        <f aca="false">IFERROR(C23/C22-1,"")</f>
        <v>0.0282163636256738</v>
      </c>
      <c r="F23" s="15"/>
    </row>
    <row r="24" customFormat="false" ht="15" hidden="false" customHeight="false" outlineLevel="0" collapsed="false">
      <c r="A24" s="20" t="s">
        <v>52</v>
      </c>
      <c r="B24" s="16" t="n">
        <v>896</v>
      </c>
      <c r="C24" s="17" t="n">
        <v>390841653</v>
      </c>
      <c r="D24" s="17" t="n">
        <f aca="false">IFERROR(C24/B24,"")</f>
        <v>436207.202008929</v>
      </c>
      <c r="E24" s="18" t="n">
        <f aca="false">IFERROR(C24/C23-1,"")</f>
        <v>0.643266315267987</v>
      </c>
      <c r="F24" s="15"/>
    </row>
    <row r="25" customFormat="false" ht="15" hidden="false" customHeight="false" outlineLevel="0" collapsed="false">
      <c r="A25" s="21" t="s">
        <v>53</v>
      </c>
      <c r="B25" s="22" t="n">
        <v>90</v>
      </c>
      <c r="C25" s="23" t="n">
        <v>18207853</v>
      </c>
      <c r="D25" s="23" t="n">
        <f aca="false">IFERROR(C25/B25,"")</f>
        <v>202309.477777778</v>
      </c>
      <c r="E25" s="24" t="n">
        <f aca="false">IFERROR(C25/C24-1,"")</f>
        <v>-0.953413734538678</v>
      </c>
      <c r="F25" s="25" t="s">
        <v>54</v>
      </c>
    </row>
    <row r="26" customFormat="false" ht="15" hidden="false" customHeight="false" outlineLevel="0" collapsed="false">
      <c r="A26" s="14" t="s">
        <v>55</v>
      </c>
      <c r="C26" s="26" t="n">
        <f aca="false">SUM(C5:C12)</f>
        <v>2185767155</v>
      </c>
      <c r="D26" s="2" t="s">
        <v>56</v>
      </c>
    </row>
    <row r="27" customFormat="false" ht="15" hidden="false" customHeight="false" outlineLevel="0" collapsed="false">
      <c r="A27" s="14" t="s">
        <v>55</v>
      </c>
      <c r="C27" s="26" t="n">
        <f aca="false">SUM(C17:C24)</f>
        <v>2447450473</v>
      </c>
      <c r="D27" s="2" t="s">
        <v>57</v>
      </c>
    </row>
    <row r="28" customFormat="false" ht="15" hidden="false" customHeight="false" outlineLevel="0" collapsed="false">
      <c r="A28" s="14" t="s">
        <v>58</v>
      </c>
      <c r="C28" s="27" t="n">
        <f aca="false">IFERROR(C27/C26-1,"")</f>
        <v>0.119721497965322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11"/>
    <col collapsed="false" customWidth="true" hidden="false" outlineLevel="0" max="9" min="8" style="0" width="15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26.85" hidden="false" customHeight="false" outlineLevel="0" collapsed="false">
      <c r="A4" s="3" t="s">
        <v>61</v>
      </c>
      <c r="B4" s="3" t="s">
        <v>62</v>
      </c>
      <c r="C4" s="3" t="s">
        <v>63</v>
      </c>
      <c r="D4" s="3" t="s">
        <v>64</v>
      </c>
      <c r="E4" s="3" t="s">
        <v>65</v>
      </c>
      <c r="F4" s="3" t="s">
        <v>66</v>
      </c>
      <c r="G4" s="3" t="s">
        <v>67</v>
      </c>
      <c r="H4" s="3" t="s">
        <v>68</v>
      </c>
      <c r="I4" s="3" t="s">
        <v>69</v>
      </c>
      <c r="J4" s="3" t="s">
        <v>70</v>
      </c>
      <c r="K4" s="3" t="s">
        <v>71</v>
      </c>
      <c r="L4" s="3" t="s">
        <v>72</v>
      </c>
    </row>
    <row r="5" customFormat="false" ht="15" hidden="false" customHeight="false" outlineLevel="0" collapsed="false">
      <c r="A5" s="4" t="s">
        <v>73</v>
      </c>
      <c r="B5" s="6" t="n">
        <v>95449057</v>
      </c>
      <c r="C5" s="6" t="n">
        <v>77882387</v>
      </c>
      <c r="D5" s="7" t="n">
        <f aca="false">IF(B5=0,"n/a",E5*0+C5/B5-1)</f>
        <v>-0.184042363037699</v>
      </c>
      <c r="E5" s="6" t="n">
        <v>118290911</v>
      </c>
      <c r="F5" s="6" t="n">
        <v>103000137</v>
      </c>
      <c r="G5" s="7" t="n">
        <f aca="false">IF(E5=0,"n/a",F5/E5-1)</f>
        <v>-0.129264149466226</v>
      </c>
      <c r="H5" s="6" t="n">
        <f aca="false">B5+E5</f>
        <v>213739968</v>
      </c>
      <c r="I5" s="6" t="n">
        <f aca="false">C5+F5</f>
        <v>180882524</v>
      </c>
      <c r="J5" s="7" t="n">
        <f aca="false">IF(H5=0,"n/a",I5/H5-1)</f>
        <v>-0.153726251142697</v>
      </c>
      <c r="K5" s="6" t="n">
        <v>125402113</v>
      </c>
      <c r="L5" s="6" t="n">
        <v>4523455</v>
      </c>
    </row>
    <row r="6" customFormat="false" ht="15" hidden="false" customHeight="false" outlineLevel="0" collapsed="false">
      <c r="A6" s="4" t="s">
        <v>74</v>
      </c>
      <c r="B6" s="6" t="n">
        <v>56413357</v>
      </c>
      <c r="C6" s="6" t="n">
        <v>71558538</v>
      </c>
      <c r="D6" s="7" t="n">
        <f aca="false">IF(B6=0,"n/a",E6*0+C6/B6-1)</f>
        <v>0.268467997747413</v>
      </c>
      <c r="E6" s="6" t="n">
        <v>82930875</v>
      </c>
      <c r="F6" s="6" t="n">
        <v>146634611</v>
      </c>
      <c r="G6" s="7" t="n">
        <f aca="false">IF(E6=0,"n/a",F6/E6-1)</f>
        <v>0.768154634808809</v>
      </c>
      <c r="H6" s="6" t="n">
        <f aca="false">B6+E6</f>
        <v>139344232</v>
      </c>
      <c r="I6" s="6" t="n">
        <f aca="false">C6+F6</f>
        <v>218193149</v>
      </c>
      <c r="J6" s="7" t="n">
        <f aca="false">IF(H6=0,"n/a",I6/H6-1)</f>
        <v>0.565857056788687</v>
      </c>
      <c r="K6" s="6" t="n">
        <v>250931176</v>
      </c>
      <c r="L6" s="6" t="n">
        <v>5927390</v>
      </c>
    </row>
    <row r="7" customFormat="false" ht="15" hidden="false" customHeight="false" outlineLevel="0" collapsed="false">
      <c r="A7" s="4" t="s">
        <v>75</v>
      </c>
      <c r="B7" s="6" t="n">
        <v>20709546</v>
      </c>
      <c r="C7" s="6" t="n">
        <v>21225316</v>
      </c>
      <c r="D7" s="7" t="n">
        <f aca="false">IF(B7=0,"n/a",E7*0+C7/B7-1)</f>
        <v>0.0249049399730925</v>
      </c>
      <c r="E7" s="6" t="n">
        <v>33839181</v>
      </c>
      <c r="F7" s="6" t="n">
        <v>37885842</v>
      </c>
      <c r="G7" s="7" t="n">
        <f aca="false">IF(E7=0,"n/a",F7/E7-1)</f>
        <v>0.119585075064317</v>
      </c>
      <c r="H7" s="6" t="n">
        <f aca="false">B7+E7</f>
        <v>54548727</v>
      </c>
      <c r="I7" s="6" t="n">
        <f aca="false">C7+F7</f>
        <v>59111158</v>
      </c>
      <c r="J7" s="7" t="n">
        <f aca="false">IF(H7=0,"n/a",I7/H7-1)</f>
        <v>0.0836395503785083</v>
      </c>
      <c r="K7" s="6" t="n">
        <v>58141900</v>
      </c>
      <c r="L7" s="6" t="n">
        <v>1509956</v>
      </c>
    </row>
    <row r="8" customFormat="false" ht="15" hidden="false" customHeight="false" outlineLevel="0" collapsed="false">
      <c r="A8" s="4" t="s">
        <v>76</v>
      </c>
      <c r="B8" s="6" t="n">
        <v>0</v>
      </c>
      <c r="C8" s="6" t="n">
        <v>24934425</v>
      </c>
      <c r="D8" s="7" t="str">
        <f aca="false">IF(B8=0,"n/a",E8*0+C8/B8-1)</f>
        <v>n/a</v>
      </c>
      <c r="E8" s="6" t="n">
        <v>0</v>
      </c>
      <c r="F8" s="6" t="n">
        <v>34533782</v>
      </c>
      <c r="G8" s="7" t="str">
        <f aca="false">IF(E8=0,"n/a",F8/E8-1)</f>
        <v>n/a</v>
      </c>
      <c r="H8" s="6" t="n">
        <f aca="false">B8+E8</f>
        <v>0</v>
      </c>
      <c r="I8" s="6" t="n">
        <f aca="false">C8+F8</f>
        <v>59468207</v>
      </c>
      <c r="J8" s="7" t="str">
        <f aca="false">IF(H8=0,"n/a",I8/H8-1)</f>
        <v>n/a</v>
      </c>
      <c r="K8" s="6" t="n">
        <v>0</v>
      </c>
      <c r="L8" s="6" t="n">
        <v>940100</v>
      </c>
    </row>
    <row r="9" customFormat="false" ht="15" hidden="false" customHeight="false" outlineLevel="0" collapsed="false">
      <c r="A9" s="4" t="s">
        <v>77</v>
      </c>
      <c r="B9" s="6" t="n">
        <v>4591984</v>
      </c>
      <c r="C9" s="6" t="n">
        <v>10561066</v>
      </c>
      <c r="D9" s="7" t="n">
        <f aca="false">IF(B9=0,"n/a",E9*0+C9/B9-1)</f>
        <v>1.29989172436141</v>
      </c>
      <c r="E9" s="6" t="n">
        <v>327250</v>
      </c>
      <c r="F9" s="6" t="n">
        <v>28189361</v>
      </c>
      <c r="G9" s="7" t="n">
        <f aca="false">IF(E9=0,"n/a",F9/E9-1)</f>
        <v>85.140140565317</v>
      </c>
      <c r="H9" s="6" t="n">
        <f aca="false">B9+E9</f>
        <v>4919234</v>
      </c>
      <c r="I9" s="6" t="n">
        <f aca="false">C9+F9</f>
        <v>38750427</v>
      </c>
      <c r="J9" s="7" t="n">
        <f aca="false">IF(H9=0,"n/a",I9/H9-1)</f>
        <v>6.87732947853263</v>
      </c>
      <c r="K9" s="6" t="n">
        <v>6773183</v>
      </c>
      <c r="L9" s="6" t="n">
        <v>370221</v>
      </c>
    </row>
    <row r="10" customFormat="false" ht="15" hidden="false" customHeight="false" outlineLevel="0" collapsed="false">
      <c r="A10" s="4" t="s">
        <v>78</v>
      </c>
      <c r="B10" s="6" t="n">
        <v>17285415</v>
      </c>
      <c r="C10" s="6" t="n">
        <v>0</v>
      </c>
      <c r="D10" s="7" t="n">
        <f aca="false">IF(B10=0,"n/a",E10*0+C10/B10-1)</f>
        <v>-1</v>
      </c>
      <c r="E10" s="6" t="n">
        <v>25889364</v>
      </c>
      <c r="F10" s="6" t="n">
        <v>0</v>
      </c>
      <c r="G10" s="7" t="n">
        <f aca="false">IF(E10=0,"n/a",F10/E10-1)</f>
        <v>-1</v>
      </c>
      <c r="H10" s="6" t="n">
        <f aca="false">B10+E10</f>
        <v>43174779</v>
      </c>
      <c r="I10" s="6" t="n">
        <f aca="false">C10+F10</f>
        <v>0</v>
      </c>
      <c r="J10" s="7" t="n">
        <f aca="false">IF(H10=0,"n/a",I10/H10-1)</f>
        <v>-1</v>
      </c>
      <c r="K10" s="6" t="n">
        <v>33812236</v>
      </c>
      <c r="L10" s="6" t="n">
        <v>0</v>
      </c>
    </row>
    <row r="11" customFormat="false" ht="15" hidden="false" customHeight="false" outlineLevel="0" collapsed="false">
      <c r="A11" s="4" t="s">
        <v>79</v>
      </c>
      <c r="B11" s="6" t="n">
        <v>0</v>
      </c>
      <c r="C11" s="6" t="n">
        <v>12681400</v>
      </c>
      <c r="D11" s="7" t="str">
        <f aca="false">IF(B11=0,"n/a",E11*0+C11/B11-1)</f>
        <v>n/a</v>
      </c>
      <c r="E11" s="6" t="n">
        <v>0</v>
      </c>
      <c r="F11" s="6" t="n">
        <v>17703488</v>
      </c>
      <c r="G11" s="7" t="str">
        <f aca="false">IF(E11=0,"n/a",F11/E11-1)</f>
        <v>n/a</v>
      </c>
      <c r="H11" s="6" t="n">
        <f aca="false">B11+E11</f>
        <v>0</v>
      </c>
      <c r="I11" s="6" t="n">
        <f aca="false">C11+F11</f>
        <v>30384888</v>
      </c>
      <c r="J11" s="7" t="str">
        <f aca="false">IF(H11=0,"n/a",I11/H11-1)</f>
        <v>n/a</v>
      </c>
      <c r="K11" s="6" t="n">
        <v>0</v>
      </c>
      <c r="L11" s="6" t="n">
        <v>1782025</v>
      </c>
    </row>
    <row r="12" customFormat="false" ht="15" hidden="false" customHeight="false" outlineLevel="0" collapsed="false">
      <c r="A12" s="4" t="s">
        <v>80</v>
      </c>
      <c r="B12" s="6" t="n">
        <v>0</v>
      </c>
      <c r="C12" s="6" t="n">
        <v>12224191</v>
      </c>
      <c r="D12" s="7" t="str">
        <f aca="false">IF(B12=0,"n/a",E12*0+C12/B12-1)</f>
        <v>n/a</v>
      </c>
      <c r="E12" s="6" t="n">
        <v>0</v>
      </c>
      <c r="F12" s="6" t="n">
        <v>20346889</v>
      </c>
      <c r="G12" s="7" t="str">
        <f aca="false">IF(E12=0,"n/a",F12/E12-1)</f>
        <v>n/a</v>
      </c>
      <c r="H12" s="6" t="n">
        <f aca="false">B12+E12</f>
        <v>0</v>
      </c>
      <c r="I12" s="6" t="n">
        <f aca="false">C12+F12</f>
        <v>32571080</v>
      </c>
      <c r="J12" s="7" t="str">
        <f aca="false">IF(H12=0,"n/a",I12/H12-1)</f>
        <v>n/a</v>
      </c>
      <c r="K12" s="6" t="n">
        <v>0</v>
      </c>
      <c r="L12" s="6" t="n">
        <v>3069621</v>
      </c>
    </row>
    <row r="13" customFormat="false" ht="15" hidden="false" customHeight="false" outlineLevel="0" collapsed="false">
      <c r="A13" s="4" t="s">
        <v>81</v>
      </c>
      <c r="B13" s="6" t="n">
        <v>7074848</v>
      </c>
      <c r="C13" s="6" t="n">
        <v>249785</v>
      </c>
      <c r="D13" s="7" t="n">
        <f aca="false">IF(B13=0,"n/a",E13*0+C13/B13-1)</f>
        <v>-0.964693941127781</v>
      </c>
      <c r="E13" s="6" t="n">
        <v>4510577</v>
      </c>
      <c r="F13" s="6" t="n">
        <v>371925</v>
      </c>
      <c r="G13" s="7" t="n">
        <f aca="false">IF(E13=0,"n/a",F13/E13-1)</f>
        <v>-0.917543808696759</v>
      </c>
      <c r="H13" s="6" t="n">
        <f aca="false">B13+E13</f>
        <v>11585425</v>
      </c>
      <c r="I13" s="6" t="n">
        <f aca="false">C13+F13</f>
        <v>621710</v>
      </c>
      <c r="J13" s="7" t="n">
        <f aca="false">IF(H13=0,"n/a",I13/H13-1)</f>
        <v>-0.946336884490642</v>
      </c>
      <c r="K13" s="6" t="n">
        <v>15809428</v>
      </c>
      <c r="L13" s="6" t="n">
        <v>85085</v>
      </c>
    </row>
    <row r="14" customFormat="false" ht="15" hidden="false" customHeight="false" outlineLevel="0" collapsed="false">
      <c r="A14" s="4" t="s">
        <v>82</v>
      </c>
      <c r="B14" s="6" t="n">
        <v>22466950</v>
      </c>
      <c r="C14" s="6" t="n">
        <v>169813</v>
      </c>
      <c r="D14" s="7" t="n">
        <f aca="false">IF(B14=0,"n/a",E14*0+C14/B14-1)</f>
        <v>-0.992441653183899</v>
      </c>
      <c r="E14" s="6" t="n">
        <v>26675542</v>
      </c>
      <c r="F14" s="6" t="n">
        <v>2175618</v>
      </c>
      <c r="G14" s="7" t="n">
        <f aca="false">IF(E14=0,"n/a",F14/E14-1)</f>
        <v>-0.918441469717841</v>
      </c>
      <c r="H14" s="6" t="n">
        <f aca="false">B14+E14</f>
        <v>49142492</v>
      </c>
      <c r="I14" s="6" t="n">
        <f aca="false">C14+F14</f>
        <v>2345431</v>
      </c>
      <c r="J14" s="7" t="n">
        <f aca="false">IF(H14=0,"n/a",I14/H14-1)</f>
        <v>-0.952272851771538</v>
      </c>
      <c r="K14" s="6" t="n">
        <v>28282523</v>
      </c>
      <c r="L14" s="6" t="n">
        <v>0</v>
      </c>
    </row>
    <row r="15" customFormat="false" ht="15" hidden="false" customHeight="false" outlineLevel="0" collapsed="false">
      <c r="A15" s="4" t="s">
        <v>83</v>
      </c>
      <c r="B15" s="6" t="n">
        <v>0</v>
      </c>
      <c r="C15" s="6" t="n">
        <v>0</v>
      </c>
      <c r="D15" s="7" t="str">
        <f aca="false">IF(B15=0,"n/a",E15*0+C15/B15-1)</f>
        <v>n/a</v>
      </c>
      <c r="E15" s="6" t="n">
        <v>0</v>
      </c>
      <c r="F15" s="6" t="n">
        <v>0</v>
      </c>
      <c r="G15" s="7" t="str">
        <f aca="false">IF(E15=0,"n/a",F15/E15-1)</f>
        <v>n/a</v>
      </c>
      <c r="H15" s="6" t="n">
        <f aca="false">B15+E15</f>
        <v>0</v>
      </c>
      <c r="I15" s="6" t="n">
        <f aca="false">C15+F15</f>
        <v>0</v>
      </c>
      <c r="J15" s="7" t="str">
        <f aca="false">IF(H15=0,"n/a",I15/H15-1)</f>
        <v>n/a</v>
      </c>
      <c r="K15" s="6" t="n">
        <v>834800</v>
      </c>
      <c r="L15" s="6" t="n">
        <v>0</v>
      </c>
    </row>
    <row r="16" customFormat="false" ht="15" hidden="false" customHeight="false" outlineLevel="0" collapsed="false">
      <c r="A16" s="4" t="s">
        <v>84</v>
      </c>
      <c r="B16" s="6" t="n">
        <v>0</v>
      </c>
      <c r="C16" s="6" t="n">
        <v>6357456</v>
      </c>
      <c r="D16" s="7" t="str">
        <f aca="false">IF(B16=0,"n/a",E16*0+C16/B16-1)</f>
        <v>n/a</v>
      </c>
      <c r="E16" s="6" t="n">
        <v>0</v>
      </c>
      <c r="F16" s="6" t="n">
        <v>0</v>
      </c>
      <c r="G16" s="7" t="str">
        <f aca="false">IF(E16=0,"n/a",F16/E16-1)</f>
        <v>n/a</v>
      </c>
      <c r="H16" s="6" t="n">
        <f aca="false">B16+E16</f>
        <v>0</v>
      </c>
      <c r="I16" s="6" t="n">
        <f aca="false">C16+F16</f>
        <v>6357456</v>
      </c>
      <c r="J16" s="7" t="str">
        <f aca="false">IF(H16=0,"n/a",I16/H16-1)</f>
        <v>n/a</v>
      </c>
      <c r="K16" s="6" t="n">
        <v>0</v>
      </c>
      <c r="L16" s="6" t="n">
        <v>0</v>
      </c>
    </row>
    <row r="17" customFormat="false" ht="15" hidden="false" customHeight="false" outlineLevel="0" collapsed="false">
      <c r="A17" s="9" t="s">
        <v>85</v>
      </c>
      <c r="B17" s="11" t="n">
        <f aca="false">SUM(B5:B16)</f>
        <v>223991157</v>
      </c>
      <c r="C17" s="11" t="n">
        <f aca="false">SUM(C5:C16)</f>
        <v>237844377</v>
      </c>
      <c r="D17" s="12" t="n">
        <f aca="false">IF(B17=0,"n/a",C17/B17-1)</f>
        <v>0.061847173725702</v>
      </c>
      <c r="E17" s="11" t="n">
        <f aca="false">SUM(E5:E16)</f>
        <v>292463700</v>
      </c>
      <c r="F17" s="11" t="n">
        <f aca="false">SUM(F5:F16)</f>
        <v>390841653</v>
      </c>
      <c r="G17" s="12" t="n">
        <f aca="false">IF(E17=0,"n/a",F17/E17-1)</f>
        <v>0.336376627253228</v>
      </c>
      <c r="H17" s="11" t="n">
        <f aca="false">SUM(H5:H16)</f>
        <v>516454857</v>
      </c>
      <c r="I17" s="11" t="n">
        <f aca="false">SUM(I5:I16)</f>
        <v>628686030</v>
      </c>
      <c r="J17" s="12" t="n">
        <f aca="false">IF(H17=0,"n/a",I17/H17-1)</f>
        <v>0.217310712599223</v>
      </c>
      <c r="K17" s="11" t="n">
        <f aca="false">SUM(K5:K16)</f>
        <v>519987359</v>
      </c>
      <c r="L17" s="11" t="n">
        <f aca="false">SUM(L5:L16)</f>
        <v>18207853</v>
      </c>
    </row>
    <row r="19" customFormat="false" ht="15" hidden="false" customHeight="false" outlineLevel="0" collapsed="false">
      <c r="A19" s="14" t="s">
        <v>86</v>
      </c>
    </row>
    <row r="20" customFormat="false" ht="15" hidden="false" customHeight="false" outlineLevel="0" collapsed="false">
      <c r="A20" s="19" t="s">
        <v>87</v>
      </c>
    </row>
    <row r="21" customFormat="false" ht="15" hidden="false" customHeight="false" outlineLevel="0" collapsed="false">
      <c r="A21" s="19" t="s">
        <v>88</v>
      </c>
    </row>
    <row r="22" customFormat="false" ht="15" hidden="false" customHeight="false" outlineLevel="0" collapsed="false">
      <c r="A22" s="19" t="s">
        <v>89</v>
      </c>
    </row>
    <row r="23" customFormat="false" ht="15" hidden="false" customHeight="false" outlineLevel="0" collapsed="false">
      <c r="A23" s="19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44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15" hidden="false" customHeight="false" outlineLevel="0" collapsed="false">
      <c r="A4" s="14" t="s">
        <v>93</v>
      </c>
    </row>
    <row r="5" customFormat="false" ht="39.55" hidden="false" customHeight="false" outlineLevel="0" collapsed="false">
      <c r="A5" s="3" t="s">
        <v>94</v>
      </c>
      <c r="B5" s="3" t="s">
        <v>56</v>
      </c>
      <c r="C5" s="3" t="s">
        <v>57</v>
      </c>
      <c r="D5" s="3" t="s">
        <v>95</v>
      </c>
    </row>
    <row r="6" customFormat="false" ht="15" hidden="false" customHeight="false" outlineLevel="0" collapsed="false">
      <c r="A6" s="20" t="s">
        <v>96</v>
      </c>
      <c r="B6" s="16" t="n">
        <v>1022</v>
      </c>
      <c r="C6" s="16" t="n">
        <v>980</v>
      </c>
      <c r="D6" s="18" t="n">
        <f aca="false">IF(OR(B6="",C6="",B6=0),"",C6/B6-1)</f>
        <v>-0.041095890410959</v>
      </c>
    </row>
    <row r="7" customFormat="false" ht="15" hidden="false" customHeight="false" outlineLevel="0" collapsed="false">
      <c r="A7" s="20" t="s">
        <v>97</v>
      </c>
      <c r="B7" s="17" t="n">
        <v>516454857</v>
      </c>
      <c r="C7" s="17" t="n">
        <v>628686030</v>
      </c>
      <c r="D7" s="18" t="n">
        <f aca="false">IF(OR(B7="",C7="",B7=0),"",C7/B7-1)</f>
        <v>0.217310712599223</v>
      </c>
    </row>
    <row r="8" customFormat="false" ht="15" hidden="false" customHeight="false" outlineLevel="0" collapsed="false">
      <c r="A8" s="20" t="s">
        <v>98</v>
      </c>
      <c r="B8" s="17" t="n">
        <f aca="false">IFERROR(B7/B6,"")</f>
        <v>505337.433463796</v>
      </c>
      <c r="C8" s="17" t="n">
        <f aca="false">IFERROR(C7/C6,"")</f>
        <v>641516.357142857</v>
      </c>
      <c r="D8" s="18" t="n">
        <f aca="false">IF(OR(B8="",C8="",B8=0),"",C8/B8-1)</f>
        <v>0.269481171710619</v>
      </c>
    </row>
    <row r="9" customFormat="false" ht="15" hidden="false" customHeight="false" outlineLevel="0" collapsed="false">
      <c r="A9" s="20" t="s">
        <v>99</v>
      </c>
      <c r="B9" s="16" t="n">
        <v>293</v>
      </c>
      <c r="C9" s="16" t="n">
        <v>293</v>
      </c>
      <c r="D9" s="18" t="n">
        <f aca="false">IF(OR(B9="",C9="",B9=0),"",C9/B9-1)</f>
        <v>0</v>
      </c>
    </row>
    <row r="10" customFormat="false" ht="15" hidden="false" customHeight="false" outlineLevel="0" collapsed="false">
      <c r="A10" s="20" t="s">
        <v>100</v>
      </c>
      <c r="B10" s="17" t="n">
        <v>269059243</v>
      </c>
      <c r="C10" s="17" t="n">
        <v>383833542</v>
      </c>
      <c r="D10" s="18" t="n">
        <f aca="false">IF(OR(B10="",C10="",B10=0),"",C10/B10-1)</f>
        <v>0.426576309812929</v>
      </c>
    </row>
    <row r="11" customFormat="false" ht="15" hidden="false" customHeight="false" outlineLevel="0" collapsed="false">
      <c r="A11" s="20" t="s">
        <v>101</v>
      </c>
      <c r="B11" s="16"/>
      <c r="C11" s="16" t="n">
        <v>687</v>
      </c>
      <c r="D11" s="15"/>
    </row>
    <row r="12" customFormat="false" ht="15" hidden="false" customHeight="false" outlineLevel="0" collapsed="false">
      <c r="A12" s="20" t="s">
        <v>102</v>
      </c>
      <c r="B12" s="17"/>
      <c r="C12" s="17" t="n">
        <v>244852488</v>
      </c>
      <c r="D12" s="15"/>
    </row>
    <row r="13" customFormat="false" ht="15" hidden="false" customHeight="false" outlineLevel="0" collapsed="false">
      <c r="A13" s="20" t="s">
        <v>103</v>
      </c>
      <c r="B13" s="16" t="n">
        <v>729</v>
      </c>
      <c r="C13" s="16"/>
      <c r="D13" s="15"/>
    </row>
    <row r="14" customFormat="false" ht="15" hidden="false" customHeight="false" outlineLevel="0" collapsed="false">
      <c r="A14" s="20" t="s">
        <v>104</v>
      </c>
      <c r="B14" s="17" t="n">
        <v>247395614</v>
      </c>
      <c r="C14" s="17"/>
      <c r="D14" s="15"/>
    </row>
    <row r="16" customFormat="false" ht="15" hidden="false" customHeight="false" outlineLevel="0" collapsed="false">
      <c r="A16" s="14" t="s">
        <v>105</v>
      </c>
    </row>
    <row r="17" customFormat="false" ht="15" hidden="false" customHeight="false" outlineLevel="0" collapsed="false">
      <c r="A17" s="3" t="s">
        <v>106</v>
      </c>
      <c r="B17" s="3" t="s">
        <v>107</v>
      </c>
      <c r="C17" s="3" t="s">
        <v>4</v>
      </c>
      <c r="D17" s="3" t="s">
        <v>108</v>
      </c>
      <c r="E17" s="3" t="s">
        <v>109</v>
      </c>
      <c r="F17" s="3" t="s">
        <v>6</v>
      </c>
      <c r="G17" s="3" t="s">
        <v>108</v>
      </c>
    </row>
    <row r="18" customFormat="false" ht="15" hidden="false" customHeight="false" outlineLevel="0" collapsed="false">
      <c r="A18" s="20" t="n">
        <v>1</v>
      </c>
      <c r="B18" s="20" t="s">
        <v>110</v>
      </c>
      <c r="C18" s="17" t="n">
        <v>24652040</v>
      </c>
      <c r="D18" s="18" t="n">
        <f aca="false">IFERROR(C18/$B$7,"")</f>
        <v>0.0477331942295975</v>
      </c>
      <c r="E18" s="20" t="s">
        <v>110</v>
      </c>
      <c r="F18" s="17" t="n">
        <v>51864107</v>
      </c>
      <c r="G18" s="18" t="n">
        <f aca="false">IFERROR(F18/$C$7,"")</f>
        <v>0.0824960386029255</v>
      </c>
    </row>
    <row r="19" customFormat="false" ht="15" hidden="false" customHeight="false" outlineLevel="0" collapsed="false">
      <c r="A19" s="20" t="n">
        <v>2</v>
      </c>
      <c r="B19" s="20" t="s">
        <v>111</v>
      </c>
      <c r="C19" s="17" t="n">
        <v>16866037</v>
      </c>
      <c r="D19" s="18" t="n">
        <f aca="false">IFERROR(C19/$B$7,"")</f>
        <v>0.0326573305902707</v>
      </c>
      <c r="E19" s="20" t="s">
        <v>112</v>
      </c>
      <c r="F19" s="17" t="n">
        <v>35343000</v>
      </c>
      <c r="G19" s="18" t="n">
        <f aca="false">IFERROR(F19/$C$7,"")</f>
        <v>0.0562172504453455</v>
      </c>
    </row>
    <row r="20" customFormat="false" ht="15" hidden="false" customHeight="false" outlineLevel="0" collapsed="false">
      <c r="A20" s="20" t="n">
        <v>3</v>
      </c>
      <c r="B20" s="20" t="s">
        <v>113</v>
      </c>
      <c r="C20" s="17" t="n">
        <v>12932920</v>
      </c>
      <c r="D20" s="18" t="n">
        <f aca="false">IFERROR(C20/$B$7,"")</f>
        <v>0.0250417240242936</v>
      </c>
      <c r="E20" s="20" t="s">
        <v>114</v>
      </c>
      <c r="F20" s="17" t="n">
        <v>23395400</v>
      </c>
      <c r="G20" s="18" t="n">
        <f aca="false">IFERROR(F20/$C$7,"")</f>
        <v>0.0372131698234173</v>
      </c>
    </row>
    <row r="21" customFormat="false" ht="15" hidden="false" customHeight="false" outlineLevel="0" collapsed="false">
      <c r="A21" s="20" t="n">
        <v>4</v>
      </c>
      <c r="B21" s="20" t="s">
        <v>115</v>
      </c>
      <c r="C21" s="17" t="n">
        <v>12233200</v>
      </c>
      <c r="D21" s="18" t="n">
        <f aca="false">IFERROR(C21/$B$7,"")</f>
        <v>0.0236868718227584</v>
      </c>
      <c r="E21" s="20" t="s">
        <v>111</v>
      </c>
      <c r="F21" s="17" t="n">
        <v>21841260</v>
      </c>
      <c r="G21" s="18" t="n">
        <f aca="false">IFERROR(F21/$C$7,"")</f>
        <v>0.0347411250731943</v>
      </c>
    </row>
    <row r="22" customFormat="false" ht="15" hidden="false" customHeight="false" outlineLevel="0" collapsed="false">
      <c r="A22" s="20" t="n">
        <v>5</v>
      </c>
      <c r="B22" s="20" t="s">
        <v>116</v>
      </c>
      <c r="C22" s="17" t="n">
        <v>10983093</v>
      </c>
      <c r="D22" s="18" t="n">
        <f aca="false">IFERROR(C22/$B$7,"")</f>
        <v>0.0212663175709082</v>
      </c>
      <c r="E22" s="20" t="s">
        <v>117</v>
      </c>
      <c r="F22" s="17" t="n">
        <v>17924114</v>
      </c>
      <c r="G22" s="18" t="n">
        <f aca="false">IFERROR(F22/$C$7,"")</f>
        <v>0.0285104378730986</v>
      </c>
    </row>
    <row r="23" customFormat="false" ht="15" hidden="false" customHeight="false" outlineLevel="0" collapsed="false">
      <c r="A23" s="20" t="n">
        <v>6</v>
      </c>
      <c r="B23" s="20" t="s">
        <v>118</v>
      </c>
      <c r="C23" s="17" t="n">
        <v>10202882</v>
      </c>
      <c r="D23" s="18" t="n">
        <f aca="false">IFERROR(C23/$B$7,"")</f>
        <v>0.0197556124445549</v>
      </c>
      <c r="E23" s="20" t="s">
        <v>119</v>
      </c>
      <c r="F23" s="17" t="n">
        <v>13593132</v>
      </c>
      <c r="G23" s="18" t="n">
        <f aca="false">IFERROR(F23/$C$7,"")</f>
        <v>0.0216214952318886</v>
      </c>
    </row>
    <row r="24" customFormat="false" ht="15" hidden="false" customHeight="false" outlineLevel="0" collapsed="false">
      <c r="A24" s="20" t="n">
        <v>7</v>
      </c>
      <c r="B24" s="20" t="s">
        <v>120</v>
      </c>
      <c r="C24" s="17" t="n">
        <v>8059275</v>
      </c>
      <c r="D24" s="18" t="n">
        <f aca="false">IFERROR(C24/$B$7,"")</f>
        <v>0.015604994106968</v>
      </c>
      <c r="E24" s="20" t="s">
        <v>121</v>
      </c>
      <c r="F24" s="17" t="n">
        <v>13593132</v>
      </c>
      <c r="G24" s="18" t="n">
        <f aca="false">IFERROR(F24/$C$7,"")</f>
        <v>0.0216214952318886</v>
      </c>
    </row>
    <row r="25" customFormat="false" ht="15" hidden="false" customHeight="false" outlineLevel="0" collapsed="false">
      <c r="A25" s="20" t="n">
        <v>8</v>
      </c>
      <c r="B25" s="20" t="s">
        <v>117</v>
      </c>
      <c r="C25" s="17" t="n">
        <v>6931155</v>
      </c>
      <c r="D25" s="18" t="n">
        <f aca="false">IFERROR(C25/$B$7,"")</f>
        <v>0.0134206405575541</v>
      </c>
      <c r="E25" s="20" t="s">
        <v>122</v>
      </c>
      <c r="F25" s="17" t="n">
        <v>13024550</v>
      </c>
      <c r="G25" s="18" t="n">
        <f aca="false">IFERROR(F25/$C$7,"")</f>
        <v>0.0207170978493033</v>
      </c>
    </row>
    <row r="26" customFormat="false" ht="15" hidden="false" customHeight="false" outlineLevel="0" collapsed="false">
      <c r="A26" s="20" t="n">
        <v>9</v>
      </c>
      <c r="B26" s="20" t="s">
        <v>123</v>
      </c>
      <c r="C26" s="17" t="n">
        <v>5950000</v>
      </c>
      <c r="D26" s="18" t="n">
        <f aca="false">IFERROR(C26/$B$7,"")</f>
        <v>0.0115208520538708</v>
      </c>
      <c r="E26" s="20" t="s">
        <v>120</v>
      </c>
      <c r="F26" s="17" t="n">
        <v>9575930</v>
      </c>
      <c r="G26" s="18" t="n">
        <f aca="false">IFERROR(F26/$C$7,"")</f>
        <v>0.0152316570482726</v>
      </c>
    </row>
    <row r="27" customFormat="false" ht="15" hidden="false" customHeight="false" outlineLevel="0" collapsed="false">
      <c r="A27" s="20" t="n">
        <v>10</v>
      </c>
      <c r="B27" s="20" t="s">
        <v>124</v>
      </c>
      <c r="C27" s="17" t="n">
        <v>5712000</v>
      </c>
      <c r="D27" s="18" t="n">
        <f aca="false">IFERROR(C27/$B$7,"")</f>
        <v>0.011060017971716</v>
      </c>
      <c r="E27" s="20" t="s">
        <v>125</v>
      </c>
      <c r="F27" s="17" t="n">
        <v>8258600</v>
      </c>
      <c r="G27" s="18" t="n">
        <f aca="false">IFERROR(F27/$C$7,"")</f>
        <v>0.0131362868044006</v>
      </c>
    </row>
    <row r="28" customFormat="false" ht="15" hidden="false" customHeight="false" outlineLevel="0" collapsed="false">
      <c r="A28" s="20" t="n">
        <v>11</v>
      </c>
      <c r="B28" s="20" t="s">
        <v>112</v>
      </c>
      <c r="C28" s="17" t="n">
        <v>5595618</v>
      </c>
      <c r="D28" s="18" t="n">
        <f aca="false">IFERROR(C28/$B$7,"")</f>
        <v>0.0108346701055423</v>
      </c>
      <c r="E28" s="20" t="s">
        <v>126</v>
      </c>
      <c r="F28" s="17" t="n">
        <v>7476770</v>
      </c>
      <c r="G28" s="18" t="n">
        <f aca="false">IFERROR(F28/$C$7,"")</f>
        <v>0.0118926930824278</v>
      </c>
    </row>
    <row r="29" customFormat="false" ht="15" hidden="false" customHeight="false" outlineLevel="0" collapsed="false">
      <c r="A29" s="20" t="n">
        <v>12</v>
      </c>
      <c r="B29" s="20" t="s">
        <v>125</v>
      </c>
      <c r="C29" s="17" t="n">
        <v>5551350</v>
      </c>
      <c r="D29" s="18" t="n">
        <f aca="false">IFERROR(C29/$B$7,"")</f>
        <v>0.0107489549662615</v>
      </c>
      <c r="E29" s="20" t="s">
        <v>127</v>
      </c>
      <c r="F29" s="17" t="n">
        <v>6733972</v>
      </c>
      <c r="G29" s="18" t="n">
        <f aca="false">IFERROR(F29/$C$7,"")</f>
        <v>0.0107111844047179</v>
      </c>
    </row>
    <row r="30" customFormat="false" ht="15" hidden="false" customHeight="false" outlineLevel="0" collapsed="false">
      <c r="A30" s="20" t="n">
        <v>13</v>
      </c>
      <c r="B30" s="20" t="s">
        <v>128</v>
      </c>
      <c r="C30" s="17" t="n">
        <v>4890900</v>
      </c>
      <c r="D30" s="18" t="n">
        <f aca="false">IFERROR(C30/$B$7,"")</f>
        <v>0.0094701403882818</v>
      </c>
      <c r="E30" s="20" t="s">
        <v>129</v>
      </c>
      <c r="F30" s="17" t="n">
        <v>6378662</v>
      </c>
      <c r="G30" s="18" t="n">
        <f aca="false">IFERROR(F30/$C$7,"")</f>
        <v>0.010146021536378</v>
      </c>
    </row>
    <row r="31" customFormat="false" ht="15" hidden="false" customHeight="false" outlineLevel="0" collapsed="false">
      <c r="A31" s="20" t="n">
        <v>14</v>
      </c>
      <c r="B31" s="20" t="s">
        <v>130</v>
      </c>
      <c r="C31" s="17" t="n">
        <v>4849250</v>
      </c>
      <c r="D31" s="18" t="n">
        <f aca="false">IFERROR(C31/$B$7,"")</f>
        <v>0.0093894944239047</v>
      </c>
      <c r="E31" s="20" t="s">
        <v>131</v>
      </c>
      <c r="F31" s="17" t="n">
        <v>6357456</v>
      </c>
      <c r="G31" s="18" t="n">
        <f aca="false">IFERROR(F31/$C$7,"")</f>
        <v>0.010112290867987</v>
      </c>
    </row>
    <row r="32" customFormat="false" ht="15" hidden="false" customHeight="false" outlineLevel="0" collapsed="false">
      <c r="A32" s="20" t="n">
        <v>15</v>
      </c>
      <c r="B32" s="20" t="s">
        <v>132</v>
      </c>
      <c r="C32" s="17" t="n">
        <v>4354556</v>
      </c>
      <c r="D32" s="18" t="n">
        <f aca="false">IFERROR(C32/$B$7,"")</f>
        <v>0.00843162948509167</v>
      </c>
      <c r="E32" s="20" t="s">
        <v>133</v>
      </c>
      <c r="F32" s="17" t="n">
        <v>6354600</v>
      </c>
      <c r="G32" s="18" t="n">
        <f aca="false">IFERROR(F32/$C$7,"")</f>
        <v>0.0101077480598702</v>
      </c>
    </row>
    <row r="33" customFormat="false" ht="15" hidden="false" customHeight="false" outlineLevel="0" collapsed="false">
      <c r="A33" s="20" t="n">
        <v>16</v>
      </c>
      <c r="B33" s="20" t="s">
        <v>127</v>
      </c>
      <c r="C33" s="17" t="n">
        <v>4307800</v>
      </c>
      <c r="D33" s="18" t="n">
        <f aca="false">IFERROR(C33/$B$7,"")</f>
        <v>0.00834109688700246</v>
      </c>
      <c r="E33" s="20" t="s">
        <v>134</v>
      </c>
      <c r="F33" s="17" t="n">
        <v>6160630</v>
      </c>
      <c r="G33" s="18" t="n">
        <f aca="false">IFERROR(F33/$C$7,"")</f>
        <v>0.00979921567527117</v>
      </c>
    </row>
    <row r="34" customFormat="false" ht="15" hidden="false" customHeight="false" outlineLevel="0" collapsed="false">
      <c r="A34" s="20" t="n">
        <v>17</v>
      </c>
      <c r="B34" s="20" t="s">
        <v>135</v>
      </c>
      <c r="C34" s="17" t="n">
        <v>4284000</v>
      </c>
      <c r="D34" s="18" t="n">
        <f aca="false">IFERROR(C34/$B$7,"")</f>
        <v>0.00829501347878698</v>
      </c>
      <c r="E34" s="20" t="s">
        <v>136</v>
      </c>
      <c r="F34" s="17" t="n">
        <v>6057100</v>
      </c>
      <c r="G34" s="18" t="n">
        <f aca="false">IFERROR(F34/$C$7,"")</f>
        <v>0.00963453888103733</v>
      </c>
    </row>
    <row r="35" customFormat="false" ht="15" hidden="false" customHeight="false" outlineLevel="0" collapsed="false">
      <c r="A35" s="20" t="n">
        <v>18</v>
      </c>
      <c r="B35" s="20" t="s">
        <v>137</v>
      </c>
      <c r="C35" s="17" t="n">
        <v>4283524</v>
      </c>
      <c r="D35" s="18" t="n">
        <f aca="false">IFERROR(C35/$B$7,"")</f>
        <v>0.00829409181062267</v>
      </c>
      <c r="E35" s="20" t="s">
        <v>138</v>
      </c>
      <c r="F35" s="17" t="n">
        <v>5950000</v>
      </c>
      <c r="G35" s="18" t="n">
        <f aca="false">IFERROR(F35/$C$7,"")</f>
        <v>0.00946418357665749</v>
      </c>
    </row>
    <row r="36" customFormat="false" ht="15" hidden="false" customHeight="false" outlineLevel="0" collapsed="false">
      <c r="A36" s="20" t="n">
        <v>19</v>
      </c>
      <c r="B36" s="20" t="s">
        <v>139</v>
      </c>
      <c r="C36" s="17" t="n">
        <v>4266150</v>
      </c>
      <c r="D36" s="18" t="n">
        <f aca="false">IFERROR(C36/$B$7,"")</f>
        <v>0.00826045092262536</v>
      </c>
      <c r="E36" s="20" t="s">
        <v>115</v>
      </c>
      <c r="F36" s="17" t="n">
        <v>5831000</v>
      </c>
      <c r="G36" s="18" t="n">
        <f aca="false">IFERROR(F36/$C$7,"")</f>
        <v>0.00927489990512434</v>
      </c>
    </row>
    <row r="37" customFormat="false" ht="15" hidden="false" customHeight="false" outlineLevel="0" collapsed="false">
      <c r="A37" s="20" t="n">
        <v>20</v>
      </c>
      <c r="B37" s="20" t="s">
        <v>140</v>
      </c>
      <c r="C37" s="17" t="n">
        <v>4165000</v>
      </c>
      <c r="D37" s="18" t="n">
        <f aca="false">IFERROR(C37/$B$7,"")</f>
        <v>0.00806459643770956</v>
      </c>
      <c r="E37" s="20" t="s">
        <v>141</v>
      </c>
      <c r="F37" s="17" t="n">
        <v>5795300</v>
      </c>
      <c r="G37" s="18" t="n">
        <f aca="false">IFERROR(F37/$C$7,"")</f>
        <v>0.0092181148036644</v>
      </c>
    </row>
    <row r="38" customFormat="false" ht="15" hidden="false" customHeight="false" outlineLevel="0" collapsed="false">
      <c r="A38" s="28"/>
      <c r="B38" s="9" t="s">
        <v>142</v>
      </c>
      <c r="C38" s="29" t="n">
        <f aca="false">SUM(C18:C37)</f>
        <v>161070750</v>
      </c>
      <c r="D38" s="30" t="n">
        <f aca="false">IFERROR(C38/$B$7,"")</f>
        <v>0.311877694278321</v>
      </c>
      <c r="E38" s="9" t="s">
        <v>142</v>
      </c>
      <c r="F38" s="29" t="n">
        <f aca="false">SUM(F18:F37)</f>
        <v>271508715</v>
      </c>
      <c r="G38" s="30" t="n">
        <f aca="false">IFERROR(F38/$C$7,"")</f>
        <v>0.431866944776871</v>
      </c>
    </row>
    <row r="40" customFormat="false" ht="15" hidden="false" customHeight="false" outlineLevel="0" collapsed="false">
      <c r="A40" s="14" t="s">
        <v>86</v>
      </c>
    </row>
    <row r="41" customFormat="false" ht="15" hidden="false" customHeight="false" outlineLevel="0" collapsed="false">
      <c r="A41" s="19" t="s">
        <v>143</v>
      </c>
    </row>
    <row r="42" customFormat="false" ht="15" hidden="false" customHeight="false" outlineLevel="0" collapsed="false">
      <c r="A42" s="19" t="s">
        <v>144</v>
      </c>
    </row>
    <row r="43" customFormat="false" ht="15" hidden="false" customHeight="false" outlineLevel="0" collapsed="false">
      <c r="A43" s="19" t="s">
        <v>145</v>
      </c>
    </row>
    <row r="44" customFormat="false" ht="15" hidden="false" customHeight="false" outlineLevel="0" collapsed="false">
      <c r="A44" s="19" t="s">
        <v>146</v>
      </c>
    </row>
    <row r="45" customFormat="false" ht="15" hidden="false" customHeight="false" outlineLevel="0" collapsed="false">
      <c r="A45" s="19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0"/>
  </cols>
  <sheetData>
    <row r="1" customFormat="false" ht="17.35" hidden="false" customHeight="false" outlineLevel="0" collapsed="false">
      <c r="A1" s="1" t="s">
        <v>148</v>
      </c>
    </row>
    <row r="4" customFormat="false" ht="15" hidden="false" customHeight="false" outlineLevel="0" collapsed="false">
      <c r="A4" s="3" t="s">
        <v>149</v>
      </c>
      <c r="B4" s="3" t="s">
        <v>150</v>
      </c>
    </row>
    <row r="5" customFormat="false" ht="30" hidden="false" customHeight="true" outlineLevel="0" collapsed="false">
      <c r="A5" s="4" t="s">
        <v>151</v>
      </c>
      <c r="B5" s="31" t="s">
        <v>152</v>
      </c>
    </row>
    <row r="6" customFormat="false" ht="30" hidden="false" customHeight="true" outlineLevel="0" collapsed="false">
      <c r="A6" s="4" t="s">
        <v>151</v>
      </c>
      <c r="B6" s="31" t="s">
        <v>153</v>
      </c>
    </row>
    <row r="7" customFormat="false" ht="30" hidden="false" customHeight="true" outlineLevel="0" collapsed="false">
      <c r="A7" s="4" t="s">
        <v>151</v>
      </c>
      <c r="B7" s="31" t="s">
        <v>154</v>
      </c>
    </row>
    <row r="8" customFormat="false" ht="30" hidden="false" customHeight="true" outlineLevel="0" collapsed="false">
      <c r="A8" s="4" t="s">
        <v>151</v>
      </c>
      <c r="B8" s="31" t="s">
        <v>155</v>
      </c>
    </row>
    <row r="9" customFormat="false" ht="55.5" hidden="false" customHeight="true" outlineLevel="0" collapsed="false">
      <c r="A9" s="4" t="s">
        <v>156</v>
      </c>
      <c r="B9" s="31" t="s">
        <v>157</v>
      </c>
    </row>
    <row r="10" customFormat="false" ht="30" hidden="false" customHeight="true" outlineLevel="0" collapsed="false">
      <c r="A10" s="32" t="s">
        <v>158</v>
      </c>
      <c r="B10" s="33" t="s">
        <v>159</v>
      </c>
    </row>
    <row r="11" customFormat="false" ht="42" hidden="false" customHeight="true" outlineLevel="0" collapsed="false">
      <c r="A11" s="4" t="s">
        <v>160</v>
      </c>
      <c r="B11" s="31" t="s">
        <v>161</v>
      </c>
    </row>
    <row r="12" customFormat="false" ht="30" hidden="false" customHeight="true" outlineLevel="0" collapsed="false">
      <c r="A12" s="4" t="s">
        <v>160</v>
      </c>
      <c r="B12" s="31" t="s">
        <v>162</v>
      </c>
    </row>
    <row r="13" customFormat="false" ht="42" hidden="false" customHeight="true" outlineLevel="0" collapsed="false">
      <c r="A13" s="4" t="s">
        <v>160</v>
      </c>
      <c r="B13" s="31" t="s">
        <v>163</v>
      </c>
    </row>
    <row r="14" customFormat="false" ht="30" hidden="false" customHeight="true" outlineLevel="0" collapsed="false">
      <c r="A14" s="4" t="s">
        <v>160</v>
      </c>
      <c r="B14" s="31" t="s">
        <v>164</v>
      </c>
    </row>
    <row r="15" customFormat="false" ht="30" hidden="false" customHeight="true" outlineLevel="0" collapsed="false">
      <c r="A15" s="4" t="s">
        <v>165</v>
      </c>
      <c r="B15" s="31" t="s">
        <v>166</v>
      </c>
    </row>
    <row r="16" customFormat="false" ht="30" hidden="false" customHeight="true" outlineLevel="0" collapsed="false">
      <c r="A16" s="32" t="s">
        <v>167</v>
      </c>
      <c r="B16" s="33" t="s">
        <v>168</v>
      </c>
    </row>
    <row r="17" customFormat="false" ht="30" hidden="false" customHeight="true" outlineLevel="0" collapsed="false">
      <c r="A17" s="32" t="s">
        <v>167</v>
      </c>
      <c r="B17" s="33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2026-09-09T15:23:33Z</dcterms:created>
  <dc:creator>openpyxl</dc:creator>
  <dc:description/>
  <dc:language>en-US</dc:language>
  <cp:lastModifiedBy/>
  <dcterms:modified xsi:type="dcterms:W3CDTF">2026-09-09T15:23:33Z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