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das de caj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4" authorId="0">
      <text>
        <r>
          <rPr>
            <sz val="10"/>
            <rFont val="Arial"/>
            <family val="2"/>
          </rPr>
          <t xml:space="preserve">Confirmado por Deborah Fodor el 28-07-2026.
Formula: (largo x ancho x alto en cm) / 4000 = kilos volumetricos.
Los couriers cobran el MAYOR entre peso real y volumetrico.
Cambiar este numero recalcula toda la planilla.</t>
        </r>
      </text>
    </comment>
  </commentList>
</comments>
</file>

<file path=xl/sharedStrings.xml><?xml version="1.0" encoding="utf-8"?>
<sst xmlns="http://schemas.openxmlformats.org/spreadsheetml/2006/main" count="82" uniqueCount="67">
  <si>
    <t xml:space="preserve">FODOR SpA — Medidas de cajas y peso cobrable</t>
  </si>
  <si>
    <t xml:space="preserve">Fuente: fodor-envios.js (catálogo único que usan el cotizador y el panel). Generado el 04-08-2026.</t>
  </si>
  <si>
    <t xml:space="preserve">Factor volumétrico:</t>
  </si>
  <si>
    <t xml:space="preserve">← EDITAR sólo esta celda si el courier cambia el factor</t>
  </si>
  <si>
    <t xml:space="preserve">Azul = dato de entrada (medida real de la caja)   ·   Negro = calculado por fórmula</t>
  </si>
  <si>
    <t xml:space="preserve">SKU</t>
  </si>
  <si>
    <t xml:space="preserve">Producto</t>
  </si>
  <si>
    <t xml:space="preserve">Categoría</t>
  </si>
  <si>
    <t xml:space="preserve">Largo (cm)</t>
  </si>
  <si>
    <t xml:space="preserve">Ancho (cm)</t>
  </si>
  <si>
    <t xml:space="preserve">Alto (cm)</t>
  </si>
  <si>
    <t xml:space="preserve">Peso real (kg)</t>
  </si>
  <si>
    <t xml:space="preserve">Volumen (m³)</t>
  </si>
  <si>
    <t xml:space="preserve">Peso volumétrico (kg)</t>
  </si>
  <si>
    <t xml:space="preserve">Peso cobrable (kg)</t>
  </si>
  <si>
    <t xml:space="preserve">Manda</t>
  </si>
  <si>
    <t xml:space="preserve">FSP-001</t>
  </si>
  <si>
    <t xml:space="preserve">Vaso 500cc Natural Liso</t>
  </si>
  <si>
    <t xml:space="preserve">Vasos</t>
  </si>
  <si>
    <t xml:space="preserve">FSP-002</t>
  </si>
  <si>
    <t xml:space="preserve">Vaso 500cc Natural Rugoso</t>
  </si>
  <si>
    <t xml:space="preserve">FSP-003</t>
  </si>
  <si>
    <t xml:space="preserve">Vaso 500cc PP Color</t>
  </si>
  <si>
    <t xml:space="preserve">FSP-004</t>
  </si>
  <si>
    <t xml:space="preserve">Vaso 380cc Natural</t>
  </si>
  <si>
    <t xml:space="preserve">FSP-005</t>
  </si>
  <si>
    <t xml:space="preserve">Vaso Poli 380cc</t>
  </si>
  <si>
    <t xml:space="preserve">FSP-006</t>
  </si>
  <si>
    <t xml:space="preserve">Vaso 280cc</t>
  </si>
  <si>
    <t xml:space="preserve">FSP-007</t>
  </si>
  <si>
    <t xml:space="preserve">Vaso 800cc WPC</t>
  </si>
  <si>
    <t xml:space="preserve">FSP-016</t>
  </si>
  <si>
    <t xml:space="preserve">Vaso 80cc</t>
  </si>
  <si>
    <t xml:space="preserve">FSP-018</t>
  </si>
  <si>
    <t xml:space="preserve">Vaso 500cc Metalizado</t>
  </si>
  <si>
    <t xml:space="preserve">FSP-019</t>
  </si>
  <si>
    <t xml:space="preserve">Vaso 380cc Color</t>
  </si>
  <si>
    <t xml:space="preserve">FSP-008</t>
  </si>
  <si>
    <t xml:space="preserve">Copa Tanker 500cc</t>
  </si>
  <si>
    <t xml:space="preserve">Copas</t>
  </si>
  <si>
    <t xml:space="preserve">FSP-009</t>
  </si>
  <si>
    <t xml:space="preserve">Copa Aperitivo</t>
  </si>
  <si>
    <t xml:space="preserve">FSP-010</t>
  </si>
  <si>
    <t xml:space="preserve">Copa Cracker</t>
  </si>
  <si>
    <t xml:space="preserve">FSP-011</t>
  </si>
  <si>
    <t xml:space="preserve">Copa 600cc</t>
  </si>
  <si>
    <t xml:space="preserve">FSP-012</t>
  </si>
  <si>
    <t xml:space="preserve">Copa/Vaso 415cc</t>
  </si>
  <si>
    <t xml:space="preserve">FSP-017</t>
  </si>
  <si>
    <t xml:space="preserve">Copa 200cc</t>
  </si>
  <si>
    <t xml:space="preserve">FSP-013</t>
  </si>
  <si>
    <t xml:space="preserve">Hielera</t>
  </si>
  <si>
    <t xml:space="preserve">Accesorios</t>
  </si>
  <si>
    <t xml:space="preserve">FSP-014</t>
  </si>
  <si>
    <t xml:space="preserve">Pulseras</t>
  </si>
  <si>
    <t xml:space="preserve">Promo</t>
  </si>
  <si>
    <t xml:space="preserve">FSP-015</t>
  </si>
  <si>
    <t xml:space="preserve">Lanyard</t>
  </si>
  <si>
    <t xml:space="preserve">FSP-020</t>
  </si>
  <si>
    <t xml:space="preserve">Pack Mixto (cliente)</t>
  </si>
  <si>
    <t xml:space="preserve">Mixto</t>
  </si>
  <si>
    <t xml:space="preserve">Cuántos cobran por volumen:</t>
  </si>
  <si>
    <t xml:space="preserve">Por qué importa</t>
  </si>
  <si>
    <t xml:space="preserve">• Los couriers no cobran por lo que pesa la caja sino por lo que ocupa: cobran el MAYOR entre el peso real y el volumétrico.</t>
  </si>
  <si>
    <t xml:space="preserve">• Ese dato sirve para explicarle al cliente por qué el flete cuesta lo que cuesta.</t>
  </si>
  <si>
    <t xml:space="preserve">• Las medidas de esta planilla son las mismas que usa el cotizador en https://odfor-bae97.web.app/envios.html</t>
  </si>
  <si>
    <t xml:space="preserve">• Si corregís una medida acá, hay que corregirla también en fodor-envios.js para que el cotizador cotice igual.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</si>
</sst>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##"/>
    <numFmt numFmtId="166" formatCode="0.0000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D977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D4ED8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4000</v>
      </c>
      <c r="C4" s="5" t="s">
        <v>3</v>
      </c>
    </row>
    <row r="6" customFormat="false" ht="15" hidden="false" customHeight="false" outlineLevel="0" collapsed="false">
      <c r="A6" s="2" t="s">
        <v>4</v>
      </c>
    </row>
    <row r="8" customFormat="false" ht="30" hidden="false" customHeight="true" outlineLevel="0" collapsed="false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15</v>
      </c>
    </row>
    <row r="9" customFormat="false" ht="15" hidden="false" customHeight="false" outlineLevel="0" collapsed="false">
      <c r="A9" s="7" t="s">
        <v>16</v>
      </c>
      <c r="B9" s="7" t="s">
        <v>17</v>
      </c>
      <c r="C9" s="7" t="s">
        <v>18</v>
      </c>
      <c r="D9" s="8" t="n">
        <v>69</v>
      </c>
      <c r="E9" s="8" t="n">
        <v>42</v>
      </c>
      <c r="F9" s="8" t="n">
        <v>50</v>
      </c>
      <c r="G9" s="8" t="n">
        <v>23</v>
      </c>
      <c r="H9" s="9" t="n">
        <f aca="false">D9*E9*F9/1000000</f>
        <v>0.1449</v>
      </c>
      <c r="I9" s="10" t="n">
        <f aca="false">D9*E9*F9/$B$4</f>
        <v>36.225</v>
      </c>
      <c r="J9" s="10" t="n">
        <f aca="false">MAX(G9,I9)</f>
        <v>36.225</v>
      </c>
      <c r="K9" s="11" t="str">
        <f aca="false">IF(I9&gt;G9,"VOLUMEN","PESO REAL")</f>
        <v>VOLUMEN</v>
      </c>
    </row>
    <row r="10" customFormat="false" ht="15" hidden="false" customHeight="false" outlineLevel="0" collapsed="false">
      <c r="A10" s="7" t="s">
        <v>19</v>
      </c>
      <c r="B10" s="7" t="s">
        <v>20</v>
      </c>
      <c r="C10" s="7" t="s">
        <v>18</v>
      </c>
      <c r="D10" s="8" t="n">
        <v>69</v>
      </c>
      <c r="E10" s="8" t="n">
        <v>42</v>
      </c>
      <c r="F10" s="8" t="n">
        <v>50</v>
      </c>
      <c r="G10" s="8" t="n">
        <v>23</v>
      </c>
      <c r="H10" s="9" t="n">
        <f aca="false">D10*E10*F10/1000000</f>
        <v>0.1449</v>
      </c>
      <c r="I10" s="10" t="n">
        <f aca="false">D10*E10*F10/$B$4</f>
        <v>36.225</v>
      </c>
      <c r="J10" s="10" t="n">
        <f aca="false">MAX(G10,I10)</f>
        <v>36.225</v>
      </c>
      <c r="K10" s="11" t="str">
        <f aca="false">IF(I10&gt;G10,"VOLUMEN","PESO REAL")</f>
        <v>VOLUMEN</v>
      </c>
    </row>
    <row r="11" customFormat="false" ht="15" hidden="false" customHeight="false" outlineLevel="0" collapsed="false">
      <c r="A11" s="7" t="s">
        <v>21</v>
      </c>
      <c r="B11" s="7" t="s">
        <v>22</v>
      </c>
      <c r="C11" s="7" t="s">
        <v>18</v>
      </c>
      <c r="D11" s="8" t="n">
        <v>69</v>
      </c>
      <c r="E11" s="8" t="n">
        <v>42</v>
      </c>
      <c r="F11" s="8" t="n">
        <v>50</v>
      </c>
      <c r="G11" s="8" t="n">
        <v>23</v>
      </c>
      <c r="H11" s="9" t="n">
        <f aca="false">D11*E11*F11/1000000</f>
        <v>0.1449</v>
      </c>
      <c r="I11" s="10" t="n">
        <f aca="false">D11*E11*F11/$B$4</f>
        <v>36.225</v>
      </c>
      <c r="J11" s="10" t="n">
        <f aca="false">MAX(G11,I11)</f>
        <v>36.225</v>
      </c>
      <c r="K11" s="11" t="str">
        <f aca="false">IF(I11&gt;G11,"VOLUMEN","PESO REAL")</f>
        <v>VOLUMEN</v>
      </c>
    </row>
    <row r="12" customFormat="false" ht="15" hidden="false" customHeight="false" outlineLevel="0" collapsed="false">
      <c r="A12" s="7" t="s">
        <v>23</v>
      </c>
      <c r="B12" s="7" t="s">
        <v>24</v>
      </c>
      <c r="C12" s="7" t="s">
        <v>18</v>
      </c>
      <c r="D12" s="8" t="n">
        <v>61</v>
      </c>
      <c r="E12" s="8" t="n">
        <v>27</v>
      </c>
      <c r="F12" s="8" t="n">
        <v>38</v>
      </c>
      <c r="G12" s="8" t="n">
        <v>15</v>
      </c>
      <c r="H12" s="9" t="n">
        <f aca="false">D12*E12*F12/1000000</f>
        <v>0.062586</v>
      </c>
      <c r="I12" s="10" t="n">
        <f aca="false">D12*E12*F12/$B$4</f>
        <v>15.6465</v>
      </c>
      <c r="J12" s="10" t="n">
        <f aca="false">MAX(G12,I12)</f>
        <v>15.6465</v>
      </c>
      <c r="K12" s="11" t="str">
        <f aca="false">IF(I12&gt;G12,"VOLUMEN","PESO REAL")</f>
        <v>VOLUMEN</v>
      </c>
    </row>
    <row r="13" customFormat="false" ht="15" hidden="false" customHeight="false" outlineLevel="0" collapsed="false">
      <c r="A13" s="7" t="s">
        <v>25</v>
      </c>
      <c r="B13" s="7" t="s">
        <v>26</v>
      </c>
      <c r="C13" s="7" t="s">
        <v>18</v>
      </c>
      <c r="D13" s="8" t="n">
        <v>61</v>
      </c>
      <c r="E13" s="8" t="n">
        <v>27</v>
      </c>
      <c r="F13" s="8" t="n">
        <v>38</v>
      </c>
      <c r="G13" s="8" t="n">
        <v>15</v>
      </c>
      <c r="H13" s="9" t="n">
        <f aca="false">D13*E13*F13/1000000</f>
        <v>0.062586</v>
      </c>
      <c r="I13" s="10" t="n">
        <f aca="false">D13*E13*F13/$B$4</f>
        <v>15.6465</v>
      </c>
      <c r="J13" s="10" t="n">
        <f aca="false">MAX(G13,I13)</f>
        <v>15.6465</v>
      </c>
      <c r="K13" s="11" t="str">
        <f aca="false">IF(I13&gt;G13,"VOLUMEN","PESO REAL")</f>
        <v>VOLUMEN</v>
      </c>
    </row>
    <row r="14" customFormat="false" ht="15" hidden="false" customHeight="false" outlineLevel="0" collapsed="false">
      <c r="A14" s="7" t="s">
        <v>27</v>
      </c>
      <c r="B14" s="7" t="s">
        <v>28</v>
      </c>
      <c r="C14" s="7" t="s">
        <v>18</v>
      </c>
      <c r="D14" s="8" t="n">
        <v>53</v>
      </c>
      <c r="E14" s="8" t="n">
        <v>35</v>
      </c>
      <c r="F14" s="8" t="n">
        <v>40</v>
      </c>
      <c r="G14" s="8" t="n">
        <v>12</v>
      </c>
      <c r="H14" s="9" t="n">
        <f aca="false">D14*E14*F14/1000000</f>
        <v>0.0742</v>
      </c>
      <c r="I14" s="10" t="n">
        <f aca="false">D14*E14*F14/$B$4</f>
        <v>18.55</v>
      </c>
      <c r="J14" s="10" t="n">
        <f aca="false">MAX(G14,I14)</f>
        <v>18.55</v>
      </c>
      <c r="K14" s="11" t="str">
        <f aca="false">IF(I14&gt;G14,"VOLUMEN","PESO REAL")</f>
        <v>VOLUMEN</v>
      </c>
    </row>
    <row r="15" customFormat="false" ht="15" hidden="false" customHeight="false" outlineLevel="0" collapsed="false">
      <c r="A15" s="7" t="s">
        <v>29</v>
      </c>
      <c r="B15" s="7" t="s">
        <v>30</v>
      </c>
      <c r="C15" s="7" t="s">
        <v>18</v>
      </c>
      <c r="D15" s="8" t="n">
        <v>58</v>
      </c>
      <c r="E15" s="8" t="n">
        <v>35</v>
      </c>
      <c r="F15" s="8" t="n">
        <v>54</v>
      </c>
      <c r="G15" s="8" t="n">
        <v>11</v>
      </c>
      <c r="H15" s="9" t="n">
        <f aca="false">D15*E15*F15/1000000</f>
        <v>0.10962</v>
      </c>
      <c r="I15" s="10" t="n">
        <f aca="false">D15*E15*F15/$B$4</f>
        <v>27.405</v>
      </c>
      <c r="J15" s="10" t="n">
        <f aca="false">MAX(G15,I15)</f>
        <v>27.405</v>
      </c>
      <c r="K15" s="11" t="str">
        <f aca="false">IF(I15&gt;G15,"VOLUMEN","PESO REAL")</f>
        <v>VOLUMEN</v>
      </c>
    </row>
    <row r="16" customFormat="false" ht="15" hidden="false" customHeight="false" outlineLevel="0" collapsed="false">
      <c r="A16" s="7" t="s">
        <v>31</v>
      </c>
      <c r="B16" s="7" t="s">
        <v>32</v>
      </c>
      <c r="C16" s="7" t="s">
        <v>18</v>
      </c>
      <c r="D16" s="8" t="n">
        <v>53</v>
      </c>
      <c r="E16" s="8" t="n">
        <v>45</v>
      </c>
      <c r="F16" s="8" t="n">
        <v>27</v>
      </c>
      <c r="G16" s="8" t="n">
        <v>12</v>
      </c>
      <c r="H16" s="9" t="n">
        <f aca="false">D16*E16*F16/1000000</f>
        <v>0.064395</v>
      </c>
      <c r="I16" s="10" t="n">
        <f aca="false">D16*E16*F16/$B$4</f>
        <v>16.09875</v>
      </c>
      <c r="J16" s="10" t="n">
        <f aca="false">MAX(G16,I16)</f>
        <v>16.09875</v>
      </c>
      <c r="K16" s="11" t="str">
        <f aca="false">IF(I16&gt;G16,"VOLUMEN","PESO REAL")</f>
        <v>VOLUMEN</v>
      </c>
    </row>
    <row r="17" customFormat="false" ht="15" hidden="false" customHeight="false" outlineLevel="0" collapsed="false">
      <c r="A17" s="7" t="s">
        <v>33</v>
      </c>
      <c r="B17" s="7" t="s">
        <v>34</v>
      </c>
      <c r="C17" s="7" t="s">
        <v>18</v>
      </c>
      <c r="D17" s="8" t="n">
        <v>69</v>
      </c>
      <c r="E17" s="8" t="n">
        <v>42</v>
      </c>
      <c r="F17" s="8" t="n">
        <v>50</v>
      </c>
      <c r="G17" s="8" t="n">
        <v>23</v>
      </c>
      <c r="H17" s="9" t="n">
        <f aca="false">D17*E17*F17/1000000</f>
        <v>0.1449</v>
      </c>
      <c r="I17" s="10" t="n">
        <f aca="false">D17*E17*F17/$B$4</f>
        <v>36.225</v>
      </c>
      <c r="J17" s="10" t="n">
        <f aca="false">MAX(G17,I17)</f>
        <v>36.225</v>
      </c>
      <c r="K17" s="11" t="str">
        <f aca="false">IF(I17&gt;G17,"VOLUMEN","PESO REAL")</f>
        <v>VOLUMEN</v>
      </c>
    </row>
    <row r="18" customFormat="false" ht="15" hidden="false" customHeight="false" outlineLevel="0" collapsed="false">
      <c r="A18" s="7" t="s">
        <v>35</v>
      </c>
      <c r="B18" s="7" t="s">
        <v>36</v>
      </c>
      <c r="C18" s="7" t="s">
        <v>18</v>
      </c>
      <c r="D18" s="8" t="n">
        <v>61</v>
      </c>
      <c r="E18" s="8" t="n">
        <v>27</v>
      </c>
      <c r="F18" s="8" t="n">
        <v>38</v>
      </c>
      <c r="G18" s="8" t="n">
        <v>15</v>
      </c>
      <c r="H18" s="9" t="n">
        <f aca="false">D18*E18*F18/1000000</f>
        <v>0.062586</v>
      </c>
      <c r="I18" s="10" t="n">
        <f aca="false">D18*E18*F18/$B$4</f>
        <v>15.6465</v>
      </c>
      <c r="J18" s="10" t="n">
        <f aca="false">MAX(G18,I18)</f>
        <v>15.6465</v>
      </c>
      <c r="K18" s="11" t="str">
        <f aca="false">IF(I18&gt;G18,"VOLUMEN","PESO REAL")</f>
        <v>VOLUMEN</v>
      </c>
    </row>
    <row r="19" customFormat="false" ht="15" hidden="false" customHeight="false" outlineLevel="0" collapsed="false">
      <c r="A19" s="7" t="s">
        <v>37</v>
      </c>
      <c r="B19" s="7" t="s">
        <v>38</v>
      </c>
      <c r="C19" s="7" t="s">
        <v>39</v>
      </c>
      <c r="D19" s="8" t="n">
        <v>57</v>
      </c>
      <c r="E19" s="8" t="n">
        <v>32</v>
      </c>
      <c r="F19" s="8" t="n">
        <v>27</v>
      </c>
      <c r="G19" s="8" t="n">
        <v>8</v>
      </c>
      <c r="H19" s="9" t="n">
        <f aca="false">D19*E19*F19/1000000</f>
        <v>0.049248</v>
      </c>
      <c r="I19" s="10" t="n">
        <f aca="false">D19*E19*F19/$B$4</f>
        <v>12.312</v>
      </c>
      <c r="J19" s="10" t="n">
        <f aca="false">MAX(G19,I19)</f>
        <v>12.312</v>
      </c>
      <c r="K19" s="11" t="str">
        <f aca="false">IF(I19&gt;G19,"VOLUMEN","PESO REAL")</f>
        <v>VOLUMEN</v>
      </c>
    </row>
    <row r="20" customFormat="false" ht="15" hidden="false" customHeight="false" outlineLevel="0" collapsed="false">
      <c r="A20" s="7" t="s">
        <v>40</v>
      </c>
      <c r="B20" s="7" t="s">
        <v>41</v>
      </c>
      <c r="C20" s="7" t="s">
        <v>39</v>
      </c>
      <c r="D20" s="8" t="n">
        <v>57</v>
      </c>
      <c r="E20" s="8" t="n">
        <v>32</v>
      </c>
      <c r="F20" s="8" t="n">
        <v>57</v>
      </c>
      <c r="G20" s="8" t="n">
        <v>9</v>
      </c>
      <c r="H20" s="9" t="n">
        <f aca="false">D20*E20*F20/1000000</f>
        <v>0.103968</v>
      </c>
      <c r="I20" s="10" t="n">
        <f aca="false">D20*E20*F20/$B$4</f>
        <v>25.992</v>
      </c>
      <c r="J20" s="10" t="n">
        <f aca="false">MAX(G20,I20)</f>
        <v>25.992</v>
      </c>
      <c r="K20" s="11" t="str">
        <f aca="false">IF(I20&gt;G20,"VOLUMEN","PESO REAL")</f>
        <v>VOLUMEN</v>
      </c>
    </row>
    <row r="21" customFormat="false" ht="15" hidden="false" customHeight="false" outlineLevel="0" collapsed="false">
      <c r="A21" s="7" t="s">
        <v>42</v>
      </c>
      <c r="B21" s="7" t="s">
        <v>43</v>
      </c>
      <c r="C21" s="7" t="s">
        <v>39</v>
      </c>
      <c r="D21" s="8" t="n">
        <v>57</v>
      </c>
      <c r="E21" s="8" t="n">
        <v>32</v>
      </c>
      <c r="F21" s="8" t="n">
        <v>57</v>
      </c>
      <c r="G21" s="8" t="n">
        <v>9</v>
      </c>
      <c r="H21" s="9" t="n">
        <f aca="false">D21*E21*F21/1000000</f>
        <v>0.103968</v>
      </c>
      <c r="I21" s="10" t="n">
        <f aca="false">D21*E21*F21/$B$4</f>
        <v>25.992</v>
      </c>
      <c r="J21" s="10" t="n">
        <f aca="false">MAX(G21,I21)</f>
        <v>25.992</v>
      </c>
      <c r="K21" s="11" t="str">
        <f aca="false">IF(I21&gt;G21,"VOLUMEN","PESO REAL")</f>
        <v>VOLUMEN</v>
      </c>
    </row>
    <row r="22" customFormat="false" ht="15" hidden="false" customHeight="false" outlineLevel="0" collapsed="false">
      <c r="A22" s="7" t="s">
        <v>44</v>
      </c>
      <c r="B22" s="7" t="s">
        <v>45</v>
      </c>
      <c r="C22" s="7" t="s">
        <v>39</v>
      </c>
      <c r="D22" s="8" t="n">
        <v>57</v>
      </c>
      <c r="E22" s="8" t="n">
        <v>32</v>
      </c>
      <c r="F22" s="8" t="n">
        <v>27</v>
      </c>
      <c r="G22" s="8" t="n">
        <v>8</v>
      </c>
      <c r="H22" s="9" t="n">
        <f aca="false">D22*E22*F22/1000000</f>
        <v>0.049248</v>
      </c>
      <c r="I22" s="10" t="n">
        <f aca="false">D22*E22*F22/$B$4</f>
        <v>12.312</v>
      </c>
      <c r="J22" s="10" t="n">
        <f aca="false">MAX(G22,I22)</f>
        <v>12.312</v>
      </c>
      <c r="K22" s="11" t="str">
        <f aca="false">IF(I22&gt;G22,"VOLUMEN","PESO REAL")</f>
        <v>VOLUMEN</v>
      </c>
    </row>
    <row r="23" customFormat="false" ht="15" hidden="false" customHeight="false" outlineLevel="0" collapsed="false">
      <c r="A23" s="7" t="s">
        <v>46</v>
      </c>
      <c r="B23" s="7" t="s">
        <v>47</v>
      </c>
      <c r="C23" s="7" t="s">
        <v>39</v>
      </c>
      <c r="D23" s="8" t="n">
        <v>57</v>
      </c>
      <c r="E23" s="8" t="n">
        <v>32</v>
      </c>
      <c r="F23" s="8" t="n">
        <v>57</v>
      </c>
      <c r="G23" s="8" t="n">
        <v>9</v>
      </c>
      <c r="H23" s="9" t="n">
        <f aca="false">D23*E23*F23/1000000</f>
        <v>0.103968</v>
      </c>
      <c r="I23" s="10" t="n">
        <f aca="false">D23*E23*F23/$B$4</f>
        <v>25.992</v>
      </c>
      <c r="J23" s="10" t="n">
        <f aca="false">MAX(G23,I23)</f>
        <v>25.992</v>
      </c>
      <c r="K23" s="11" t="str">
        <f aca="false">IF(I23&gt;G23,"VOLUMEN","PESO REAL")</f>
        <v>VOLUMEN</v>
      </c>
    </row>
    <row r="24" customFormat="false" ht="15" hidden="false" customHeight="false" outlineLevel="0" collapsed="false">
      <c r="A24" s="7" t="s">
        <v>48</v>
      </c>
      <c r="B24" s="7" t="s">
        <v>49</v>
      </c>
      <c r="C24" s="7" t="s">
        <v>39</v>
      </c>
      <c r="D24" s="8" t="n">
        <v>45</v>
      </c>
      <c r="E24" s="8" t="n">
        <v>30</v>
      </c>
      <c r="F24" s="8" t="n">
        <v>50</v>
      </c>
      <c r="G24" s="8" t="n">
        <v>8</v>
      </c>
      <c r="H24" s="9" t="n">
        <f aca="false">D24*E24*F24/1000000</f>
        <v>0.0675</v>
      </c>
      <c r="I24" s="10" t="n">
        <f aca="false">D24*E24*F24/$B$4</f>
        <v>16.875</v>
      </c>
      <c r="J24" s="10" t="n">
        <f aca="false">MAX(G24,I24)</f>
        <v>16.875</v>
      </c>
      <c r="K24" s="11" t="str">
        <f aca="false">IF(I24&gt;G24,"VOLUMEN","PESO REAL")</f>
        <v>VOLUMEN</v>
      </c>
    </row>
    <row r="25" customFormat="false" ht="15" hidden="false" customHeight="false" outlineLevel="0" collapsed="false">
      <c r="A25" s="7" t="s">
        <v>50</v>
      </c>
      <c r="B25" s="7" t="s">
        <v>51</v>
      </c>
      <c r="C25" s="7" t="s">
        <v>52</v>
      </c>
      <c r="D25" s="8" t="n">
        <v>61</v>
      </c>
      <c r="E25" s="8" t="n">
        <v>27</v>
      </c>
      <c r="F25" s="8" t="n">
        <v>38</v>
      </c>
      <c r="G25" s="8" t="n">
        <v>3</v>
      </c>
      <c r="H25" s="9" t="n">
        <f aca="false">D25*E25*F25/1000000</f>
        <v>0.062586</v>
      </c>
      <c r="I25" s="10" t="n">
        <f aca="false">D25*E25*F25/$B$4</f>
        <v>15.6465</v>
      </c>
      <c r="J25" s="10" t="n">
        <f aca="false">MAX(G25,I25)</f>
        <v>15.6465</v>
      </c>
      <c r="K25" s="11" t="str">
        <f aca="false">IF(I25&gt;G25,"VOLUMEN","PESO REAL")</f>
        <v>VOLUMEN</v>
      </c>
    </row>
    <row r="26" customFormat="false" ht="15" hidden="false" customHeight="false" outlineLevel="0" collapsed="false">
      <c r="A26" s="7" t="s">
        <v>53</v>
      </c>
      <c r="B26" s="7" t="s">
        <v>54</v>
      </c>
      <c r="C26" s="7" t="s">
        <v>55</v>
      </c>
      <c r="D26" s="8" t="n">
        <v>29</v>
      </c>
      <c r="E26" s="8" t="n">
        <v>21.5</v>
      </c>
      <c r="F26" s="8" t="n">
        <v>5</v>
      </c>
      <c r="G26" s="8" t="n">
        <v>1.5</v>
      </c>
      <c r="H26" s="9" t="n">
        <f aca="false">D26*E26*F26/1000000</f>
        <v>0.0031175</v>
      </c>
      <c r="I26" s="10" t="n">
        <f aca="false">D26*E26*F26/$B$4</f>
        <v>0.779375</v>
      </c>
      <c r="J26" s="10" t="n">
        <f aca="false">MAX(G26,I26)</f>
        <v>1.5</v>
      </c>
      <c r="K26" s="11" t="str">
        <f aca="false">IF(I26&gt;G26,"VOLUMEN","PESO REAL")</f>
        <v>PESO REAL</v>
      </c>
    </row>
    <row r="27" customFormat="false" ht="15" hidden="false" customHeight="false" outlineLevel="0" collapsed="false">
      <c r="A27" s="7" t="s">
        <v>56</v>
      </c>
      <c r="B27" s="7" t="s">
        <v>57</v>
      </c>
      <c r="C27" s="7" t="s">
        <v>55</v>
      </c>
      <c r="D27" s="8" t="n">
        <v>35</v>
      </c>
      <c r="E27" s="8" t="n">
        <v>25</v>
      </c>
      <c r="F27" s="8" t="n">
        <v>20</v>
      </c>
      <c r="G27" s="8" t="n">
        <v>2</v>
      </c>
      <c r="H27" s="9" t="n">
        <f aca="false">D27*E27*F27/1000000</f>
        <v>0.0175</v>
      </c>
      <c r="I27" s="10" t="n">
        <f aca="false">D27*E27*F27/$B$4</f>
        <v>4.375</v>
      </c>
      <c r="J27" s="10" t="n">
        <f aca="false">MAX(G27,I27)</f>
        <v>4.375</v>
      </c>
      <c r="K27" s="11" t="str">
        <f aca="false">IF(I27&gt;G27,"VOLUMEN","PESO REAL")</f>
        <v>VOLUMEN</v>
      </c>
    </row>
    <row r="28" customFormat="false" ht="15" hidden="false" customHeight="false" outlineLevel="0" collapsed="false">
      <c r="A28" s="7" t="s">
        <v>58</v>
      </c>
      <c r="B28" s="7" t="s">
        <v>59</v>
      </c>
      <c r="C28" s="7" t="s">
        <v>60</v>
      </c>
      <c r="D28" s="8" t="n">
        <v>30</v>
      </c>
      <c r="E28" s="8" t="n">
        <v>30</v>
      </c>
      <c r="F28" s="8" t="n">
        <v>30</v>
      </c>
      <c r="G28" s="8" t="n">
        <v>1</v>
      </c>
      <c r="H28" s="9" t="n">
        <f aca="false">D28*E28*F28/1000000</f>
        <v>0.027</v>
      </c>
      <c r="I28" s="10" t="n">
        <f aca="false">D28*E28*F28/$B$4</f>
        <v>6.75</v>
      </c>
      <c r="J28" s="10" t="n">
        <f aca="false">MAX(G28,I28)</f>
        <v>6.75</v>
      </c>
      <c r="K28" s="11" t="str">
        <f aca="false">IF(I28&gt;G28,"VOLUMEN","PESO REAL")</f>
        <v>VOLUMEN</v>
      </c>
    </row>
    <row r="30" customFormat="false" ht="15" hidden="false" customHeight="false" outlineLevel="0" collapsed="false">
      <c r="B30" s="3" t="s">
        <v>61</v>
      </c>
      <c r="J30" s="12" t="str">
        <f aca="false">COUNTIF(K9:K28,"VOLUMEN")&amp;" de "&amp;COUNTA(A9:A28)</f>
        <v>19 de 20</v>
      </c>
    </row>
    <row r="32" customFormat="false" ht="15" hidden="false" customHeight="false" outlineLevel="0" collapsed="false">
      <c r="A32" s="13" t="s">
        <v>62</v>
      </c>
    </row>
    <row r="33" customFormat="false" ht="15" hidden="false" customHeight="false" outlineLevel="0" collapsed="false">
      <c r="A33" s="14" t="s">
        <v>63</v>
      </c>
    </row>
    <row r="34" customFormat="false" ht="15" hidden="false" customHeight="false" outlineLevel="0" collapsed="false">
      <c r="A34" s="14" t="s">
        <v>64</v>
      </c>
    </row>
    <row r="35" customFormat="false" ht="15" hidden="false" customHeight="false" outlineLevel="0" collapsed="false">
      <c r="A35" s="14" t="s">
        <v>65</v>
      </c>
    </row>
    <row r="36" customFormat="false" ht="15" hidden="false" customHeight="false" outlineLevel="0" collapsed="false">
      <c r="A36" s="1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2026-08-05T01:03:00Z</dcterms:created>
  <dc:creator>openpyxl</dc:creator>
  <dc:description/>
  <dc:language>en-US</dc:language>
  <cp:lastModifiedBy/>
  <dcterms:modified xsi:type="dcterms:W3CDTF">2026-08-05T01:03:00Z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